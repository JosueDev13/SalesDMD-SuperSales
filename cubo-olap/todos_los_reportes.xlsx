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saib/cubo-olap/"/>
    </mc:Choice>
  </mc:AlternateContent>
  <xr:revisionPtr revIDLastSave="0" documentId="13_ncr:9_{0DD27B20-65E3-294F-8C5C-E9EBC302F791}" xr6:coauthVersionLast="47" xr6:coauthVersionMax="47" xr10:uidLastSave="{00000000-0000-0000-0000-000000000000}"/>
  <bookViews>
    <workbookView xWindow="0" yWindow="660" windowWidth="29400" windowHeight="18460" activeTab="1" xr2:uid="{9ACD4577-E104-EF4B-B010-60C0B58120FF}"/>
  </bookViews>
  <sheets>
    <sheet name="Reportes" sheetId="1" r:id="rId1"/>
    <sheet name="Gráfico" sheetId="4" r:id="rId2"/>
  </sheets>
  <definedNames>
    <definedName name="_xlnm._FilterDatabase" localSheetId="0" hidden="1">Reportes!$A$25:$D$56</definedName>
    <definedName name="_xlchart.v1.0" hidden="1">Reportes!$A$1:$B$56</definedName>
    <definedName name="_xlchart.v1.1" hidden="1">Reportes!$A$26:$B$56</definedName>
    <definedName name="_xlchart.v1.2" hidden="1">Reportes!$C$25</definedName>
    <definedName name="_xlchart.v1.3" hidden="1">Reportes!$C$26:$C$56</definedName>
    <definedName name="_xlchart.v1.4" hidden="1">Reportes!$D$25</definedName>
    <definedName name="_xlchart.v1.5" hidden="1">Reportes!$D$26:$D$56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4" l="1"/>
  <c r="B90" i="4"/>
  <c r="D80" i="4"/>
  <c r="C80" i="4"/>
  <c r="D63" i="4"/>
  <c r="C63" i="4"/>
  <c r="E20" i="4"/>
  <c r="D20" i="4"/>
  <c r="C20" i="4"/>
  <c r="C71" i="1"/>
  <c r="D71" i="1"/>
  <c r="T39" i="1"/>
  <c r="U39" i="1"/>
  <c r="W11" i="1"/>
  <c r="X11" i="1"/>
  <c r="E20" i="1"/>
  <c r="D20" i="1"/>
  <c r="C20" i="1"/>
</calcChain>
</file>

<file path=xl/sharedStrings.xml><?xml version="1.0" encoding="utf-8"?>
<sst xmlns="http://schemas.openxmlformats.org/spreadsheetml/2006/main" count="254" uniqueCount="53">
  <si>
    <t>Paseo</t>
  </si>
  <si>
    <t>VTT</t>
  </si>
  <si>
    <t>Amarilla</t>
  </si>
  <si>
    <t>Velo</t>
  </si>
  <si>
    <t>Montana</t>
  </si>
  <si>
    <t>Channel Partners</t>
  </si>
  <si>
    <t>Canada</t>
  </si>
  <si>
    <t>France</t>
  </si>
  <si>
    <t>Germany</t>
  </si>
  <si>
    <t>Mexico</t>
  </si>
  <si>
    <t>TOTAL</t>
  </si>
  <si>
    <t>United States of America</t>
  </si>
  <si>
    <t>Enterprise</t>
  </si>
  <si>
    <t>Government</t>
  </si>
  <si>
    <t>Midmarket</t>
  </si>
  <si>
    <t>Small Business</t>
  </si>
  <si>
    <t>Carretera</t>
  </si>
  <si>
    <t>Descuento alto</t>
  </si>
  <si>
    <t>Sin descuento</t>
  </si>
  <si>
    <t>Descuento bajo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</si>
  <si>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</si>
  <si>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</si>
  <si>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</si>
  <si>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</si>
  <si>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</si>
  <si>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</si>
  <si>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</si>
  <si>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</si>
  <si>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</si>
  <si>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</si>
  <si>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</si>
  <si>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</si>
  <si>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Mes</t>
  </si>
  <si>
    <t>Año</t>
  </si>
  <si>
    <t>Ventas Totatles</t>
  </si>
  <si>
    <t>Unidades</t>
  </si>
  <si>
    <t>Ganancias</t>
  </si>
  <si>
    <t xml:space="preserve">Ventas por mes </t>
  </si>
  <si>
    <t xml:space="preserve">TOP 5 PRODUCTOS  </t>
  </si>
  <si>
    <t>Producto</t>
  </si>
  <si>
    <t>Totales</t>
  </si>
  <si>
    <t xml:space="preserve">VENTAS POR SEGMENTO Y PAIS </t>
  </si>
  <si>
    <t>Pais</t>
  </si>
  <si>
    <t>Segmento</t>
  </si>
  <si>
    <t>Ventas totales</t>
  </si>
  <si>
    <t>Ganancia</t>
  </si>
  <si>
    <t>RENTABILIDAD</t>
  </si>
  <si>
    <t>Ventas</t>
  </si>
  <si>
    <t>Margen</t>
  </si>
  <si>
    <t xml:space="preserve">CATEGORIAS DE DESCUENTO </t>
  </si>
  <si>
    <t>Categoria</t>
  </si>
  <si>
    <t>Cantidad de transacciones</t>
  </si>
  <si>
    <t>Ganancia promedio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</si>
</sst>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40A]* #,##0.00_-;\-[$$-440A]* #,##0.00_-;_-[$$-440A]* &quot;-&quot;??_-;_-@_-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9" fillId="33" borderId="13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3" borderId="14" xfId="0" applyFont="1" applyFill="1" applyBorder="1" applyAlignment="1">
      <alignment horizontal="center"/>
    </xf>
    <xf numFmtId="0" fontId="17" fillId="33" borderId="13" xfId="0" applyFont="1" applyFill="1" applyBorder="1"/>
    <xf numFmtId="0" fontId="17" fillId="33" borderId="0" xfId="0" applyFont="1" applyFill="1"/>
    <xf numFmtId="0" fontId="17" fillId="33" borderId="14" xfId="0" applyFont="1" applyFill="1" applyBorder="1"/>
    <xf numFmtId="0" fontId="19" fillId="33" borderId="13" xfId="0" applyFont="1" applyFill="1" applyBorder="1"/>
    <xf numFmtId="0" fontId="19" fillId="33" borderId="0" xfId="0" applyFont="1" applyFill="1"/>
    <xf numFmtId="0" fontId="19" fillId="33" borderId="14" xfId="0" applyFont="1" applyFill="1" applyBorder="1"/>
    <xf numFmtId="164" fontId="0" fillId="0" borderId="0" xfId="0" applyNumberFormat="1"/>
    <xf numFmtId="164" fontId="0" fillId="0" borderId="16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0" fontId="0" fillId="33" borderId="0" xfId="0" applyFill="1"/>
    <xf numFmtId="164" fontId="17" fillId="33" borderId="0" xfId="0" applyNumberFormat="1" applyFont="1" applyFill="1"/>
    <xf numFmtId="164" fontId="19" fillId="33" borderId="0" xfId="0" applyNumberFormat="1" applyFont="1" applyFill="1"/>
    <xf numFmtId="0" fontId="17" fillId="33" borderId="15" xfId="0" applyFont="1" applyFill="1" applyBorder="1"/>
    <xf numFmtId="0" fontId="17" fillId="33" borderId="16" xfId="0" applyFont="1" applyFill="1" applyBorder="1"/>
    <xf numFmtId="164" fontId="17" fillId="33" borderId="16" xfId="0" applyNumberFormat="1" applyFont="1" applyFill="1" applyBorder="1"/>
    <xf numFmtId="164" fontId="17" fillId="33" borderId="17" xfId="0" applyNumberFormat="1" applyFont="1" applyFill="1" applyBorder="1"/>
    <xf numFmtId="0" fontId="17" fillId="0" borderId="0" xfId="0" applyFont="1"/>
    <xf numFmtId="9" fontId="0" fillId="0" borderId="14" xfId="1" applyFont="1" applyBorder="1"/>
    <xf numFmtId="9" fontId="0" fillId="0" borderId="17" xfId="1" applyFont="1" applyBorder="1"/>
    <xf numFmtId="0" fontId="19" fillId="33" borderId="10" xfId="0" applyFont="1" applyFill="1" applyBorder="1"/>
    <xf numFmtId="0" fontId="19" fillId="33" borderId="11" xfId="0" applyFont="1" applyFill="1" applyBorder="1"/>
    <xf numFmtId="0" fontId="19" fillId="33" borderId="12" xfId="0" applyFont="1" applyFill="1" applyBorder="1"/>
    <xf numFmtId="0" fontId="21" fillId="0" borderId="0" xfId="0" applyFont="1"/>
    <xf numFmtId="0" fontId="21" fillId="33" borderId="10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17" fillId="33" borderId="11" xfId="0" applyFont="1" applyFill="1" applyBorder="1" applyAlignment="1">
      <alignment horizontal="center"/>
    </xf>
    <xf numFmtId="0" fontId="21" fillId="33" borderId="0" xfId="0" applyFont="1" applyFill="1" applyAlignment="1">
      <alignment horizontal="center"/>
    </xf>
    <xf numFmtId="0" fontId="21" fillId="33" borderId="13" xfId="0" applyFont="1" applyFill="1" applyBorder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Ventas</a:t>
            </a:r>
            <a:r>
              <a:rPr lang="es-ES_tradnl" baseline="0"/>
              <a:t> por mes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Reportes!$C$3</c:f>
              <c:strCache>
                <c:ptCount val="1"/>
                <c:pt idx="0">
                  <c:v>Ventas Totatles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Reportes!$A$4:$B$19</c:f>
              <c:multiLvlStrCache>
                <c:ptCount val="16"/>
                <c:lvl>
                  <c:pt idx="0">
                    <c:v>Septiembre</c:v>
                  </c:pt>
                  <c:pt idx="1">
                    <c:v>Octubre</c:v>
                  </c:pt>
                  <c:pt idx="2">
                    <c:v>Noviembre</c:v>
                  </c:pt>
                  <c:pt idx="3">
                    <c:v>Diciembre</c:v>
                  </c:pt>
                  <c:pt idx="4">
                    <c:v>Enero</c:v>
                  </c:pt>
                  <c:pt idx="5">
                    <c:v>Febrero</c:v>
                  </c:pt>
                  <c:pt idx="6">
                    <c:v>Marzo</c:v>
                  </c:pt>
                  <c:pt idx="7">
                    <c:v>Abril</c:v>
                  </c:pt>
                  <c:pt idx="8">
                    <c:v>Mayo</c:v>
                  </c:pt>
                  <c:pt idx="9">
                    <c:v>Junio</c:v>
                  </c:pt>
                  <c:pt idx="10">
                    <c:v>Julio</c:v>
                  </c:pt>
                  <c:pt idx="11">
                    <c:v>Agosto</c:v>
                  </c:pt>
                  <c:pt idx="12">
                    <c:v>Septiembre</c:v>
                  </c:pt>
                  <c:pt idx="13">
                    <c:v>Octubre</c:v>
                  </c:pt>
                  <c:pt idx="14">
                    <c:v>Noviembre</c:v>
                  </c:pt>
                  <c:pt idx="15">
                    <c:v>Diciembre</c:v>
                  </c:pt>
                </c:lvl>
                <c:lvl>
                  <c:pt idx="0">
                    <c:v>2013</c:v>
                  </c:pt>
                  <c:pt idx="1">
                    <c:v>2013</c:v>
                  </c:pt>
                  <c:pt idx="2">
                    <c:v>2013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2014</c:v>
                  </c:pt>
                  <c:pt idx="6">
                    <c:v>2014</c:v>
                  </c:pt>
                  <c:pt idx="7">
                    <c:v>2014</c:v>
                  </c:pt>
                  <c:pt idx="8">
                    <c:v>2014</c:v>
                  </c:pt>
                  <c:pt idx="9">
                    <c:v>2014</c:v>
                  </c:pt>
                  <c:pt idx="10">
                    <c:v>2014</c:v>
                  </c:pt>
                  <c:pt idx="11">
                    <c:v>2014</c:v>
                  </c:pt>
                  <c:pt idx="12">
                    <c:v>2014</c:v>
                  </c:pt>
                  <c:pt idx="13">
                    <c:v>2014</c:v>
                  </c:pt>
                  <c:pt idx="14">
                    <c:v>2014</c:v>
                  </c:pt>
                  <c:pt idx="15">
                    <c:v>2014</c:v>
                  </c:pt>
                </c:lvl>
              </c:multiLvlStrCache>
            </c:multiLvlStrRef>
          </c:cat>
          <c:val>
            <c:numRef>
              <c:f>Reportes!$C$4:$C$19</c:f>
              <c:numCache>
                <c:formatCode>_-[$$-440A]* #,##0.00_-;\-[$$-440A]* #,##0.00_-;_-[$$-440A]* "-"??_-;_-@_-</c:formatCode>
                <c:ptCount val="16"/>
                <c:pt idx="0">
                  <c:v>4484000.03</c:v>
                </c:pt>
                <c:pt idx="1">
                  <c:v>9295611.0999999903</c:v>
                </c:pt>
                <c:pt idx="2">
                  <c:v>7267203.2999999998</c:v>
                </c:pt>
                <c:pt idx="3">
                  <c:v>5368441.08</c:v>
                </c:pt>
                <c:pt idx="4">
                  <c:v>6607761.6799999997</c:v>
                </c:pt>
                <c:pt idx="5">
                  <c:v>7297531.3899999997</c:v>
                </c:pt>
                <c:pt idx="6">
                  <c:v>5586859.8699999899</c:v>
                </c:pt>
                <c:pt idx="7">
                  <c:v>6964775.0700000003</c:v>
                </c:pt>
                <c:pt idx="8">
                  <c:v>6210211.0599999996</c:v>
                </c:pt>
                <c:pt idx="9">
                  <c:v>9518893.8199999891</c:v>
                </c:pt>
                <c:pt idx="10">
                  <c:v>8102920.1799999997</c:v>
                </c:pt>
                <c:pt idx="11">
                  <c:v>5864622.4199999999</c:v>
                </c:pt>
                <c:pt idx="12">
                  <c:v>6398697.2400000002</c:v>
                </c:pt>
                <c:pt idx="13">
                  <c:v>12375819.919999899</c:v>
                </c:pt>
                <c:pt idx="14">
                  <c:v>5384214.2000000002</c:v>
                </c:pt>
                <c:pt idx="15">
                  <c:v>11998787.9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C-7541-AC60-B848C8C05D1C}"/>
            </c:ext>
          </c:extLst>
        </c:ser>
        <c:ser>
          <c:idx val="1"/>
          <c:order val="1"/>
          <c:tx>
            <c:strRef>
              <c:f>Reportes!$D$3</c:f>
              <c:strCache>
                <c:ptCount val="1"/>
                <c:pt idx="0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Reportes!$A$4:$B$19</c:f>
              <c:multiLvlStrCache>
                <c:ptCount val="16"/>
                <c:lvl>
                  <c:pt idx="0">
                    <c:v>Septiembre</c:v>
                  </c:pt>
                  <c:pt idx="1">
                    <c:v>Octubre</c:v>
                  </c:pt>
                  <c:pt idx="2">
                    <c:v>Noviembre</c:v>
                  </c:pt>
                  <c:pt idx="3">
                    <c:v>Diciembre</c:v>
                  </c:pt>
                  <c:pt idx="4">
                    <c:v>Enero</c:v>
                  </c:pt>
                  <c:pt idx="5">
                    <c:v>Febrero</c:v>
                  </c:pt>
                  <c:pt idx="6">
                    <c:v>Marzo</c:v>
                  </c:pt>
                  <c:pt idx="7">
                    <c:v>Abril</c:v>
                  </c:pt>
                  <c:pt idx="8">
                    <c:v>Mayo</c:v>
                  </c:pt>
                  <c:pt idx="9">
                    <c:v>Junio</c:v>
                  </c:pt>
                  <c:pt idx="10">
                    <c:v>Julio</c:v>
                  </c:pt>
                  <c:pt idx="11">
                    <c:v>Agosto</c:v>
                  </c:pt>
                  <c:pt idx="12">
                    <c:v>Septiembre</c:v>
                  </c:pt>
                  <c:pt idx="13">
                    <c:v>Octubre</c:v>
                  </c:pt>
                  <c:pt idx="14">
                    <c:v>Noviembre</c:v>
                  </c:pt>
                  <c:pt idx="15">
                    <c:v>Diciembre</c:v>
                  </c:pt>
                </c:lvl>
                <c:lvl>
                  <c:pt idx="0">
                    <c:v>2013</c:v>
                  </c:pt>
                  <c:pt idx="1">
                    <c:v>2013</c:v>
                  </c:pt>
                  <c:pt idx="2">
                    <c:v>2013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2014</c:v>
                  </c:pt>
                  <c:pt idx="6">
                    <c:v>2014</c:v>
                  </c:pt>
                  <c:pt idx="7">
                    <c:v>2014</c:v>
                  </c:pt>
                  <c:pt idx="8">
                    <c:v>2014</c:v>
                  </c:pt>
                  <c:pt idx="9">
                    <c:v>2014</c:v>
                  </c:pt>
                  <c:pt idx="10">
                    <c:v>2014</c:v>
                  </c:pt>
                  <c:pt idx="11">
                    <c:v>2014</c:v>
                  </c:pt>
                  <c:pt idx="12">
                    <c:v>2014</c:v>
                  </c:pt>
                  <c:pt idx="13">
                    <c:v>2014</c:v>
                  </c:pt>
                  <c:pt idx="14">
                    <c:v>2014</c:v>
                  </c:pt>
                  <c:pt idx="15">
                    <c:v>2014</c:v>
                  </c:pt>
                </c:lvl>
              </c:multiLvlStrCache>
            </c:multiLvlStrRef>
          </c:cat>
          <c:val>
            <c:numRef>
              <c:f>Reportes!$D$4:$D$19</c:f>
              <c:numCache>
                <c:formatCode>General</c:formatCode>
                <c:ptCount val="16"/>
                <c:pt idx="0">
                  <c:v>50601</c:v>
                </c:pt>
                <c:pt idx="1">
                  <c:v>95622</c:v>
                </c:pt>
                <c:pt idx="2">
                  <c:v>65481</c:v>
                </c:pt>
                <c:pt idx="3">
                  <c:v>52970</c:v>
                </c:pt>
                <c:pt idx="4">
                  <c:v>67835.5</c:v>
                </c:pt>
                <c:pt idx="5">
                  <c:v>55115</c:v>
                </c:pt>
                <c:pt idx="6">
                  <c:v>53420</c:v>
                </c:pt>
                <c:pt idx="7">
                  <c:v>78886.5</c:v>
                </c:pt>
                <c:pt idx="8">
                  <c:v>51771</c:v>
                </c:pt>
                <c:pt idx="9">
                  <c:v>103302</c:v>
                </c:pt>
                <c:pt idx="10">
                  <c:v>69349</c:v>
                </c:pt>
                <c:pt idx="11">
                  <c:v>60705</c:v>
                </c:pt>
                <c:pt idx="12">
                  <c:v>57280</c:v>
                </c:pt>
                <c:pt idx="13">
                  <c:v>105482</c:v>
                </c:pt>
                <c:pt idx="14">
                  <c:v>55650</c:v>
                </c:pt>
                <c:pt idx="15">
                  <c:v>102336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C-7541-AC60-B848C8C05D1C}"/>
            </c:ext>
          </c:extLst>
        </c:ser>
        <c:ser>
          <c:idx val="2"/>
          <c:order val="2"/>
          <c:tx>
            <c:strRef>
              <c:f>Reportes!$E$3</c:f>
              <c:strCache>
                <c:ptCount val="1"/>
                <c:pt idx="0">
                  <c:v>Ganancias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Reportes!$A$4:$B$19</c:f>
              <c:multiLvlStrCache>
                <c:ptCount val="16"/>
                <c:lvl>
                  <c:pt idx="0">
                    <c:v>Septiembre</c:v>
                  </c:pt>
                  <c:pt idx="1">
                    <c:v>Octubre</c:v>
                  </c:pt>
                  <c:pt idx="2">
                    <c:v>Noviembre</c:v>
                  </c:pt>
                  <c:pt idx="3">
                    <c:v>Diciembre</c:v>
                  </c:pt>
                  <c:pt idx="4">
                    <c:v>Enero</c:v>
                  </c:pt>
                  <c:pt idx="5">
                    <c:v>Febrero</c:v>
                  </c:pt>
                  <c:pt idx="6">
                    <c:v>Marzo</c:v>
                  </c:pt>
                  <c:pt idx="7">
                    <c:v>Abril</c:v>
                  </c:pt>
                  <c:pt idx="8">
                    <c:v>Mayo</c:v>
                  </c:pt>
                  <c:pt idx="9">
                    <c:v>Junio</c:v>
                  </c:pt>
                  <c:pt idx="10">
                    <c:v>Julio</c:v>
                  </c:pt>
                  <c:pt idx="11">
                    <c:v>Agosto</c:v>
                  </c:pt>
                  <c:pt idx="12">
                    <c:v>Septiembre</c:v>
                  </c:pt>
                  <c:pt idx="13">
                    <c:v>Octubre</c:v>
                  </c:pt>
                  <c:pt idx="14">
                    <c:v>Noviembre</c:v>
                  </c:pt>
                  <c:pt idx="15">
                    <c:v>Diciembre</c:v>
                  </c:pt>
                </c:lvl>
                <c:lvl>
                  <c:pt idx="0">
                    <c:v>2013</c:v>
                  </c:pt>
                  <c:pt idx="1">
                    <c:v>2013</c:v>
                  </c:pt>
                  <c:pt idx="2">
                    <c:v>2013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2014</c:v>
                  </c:pt>
                  <c:pt idx="6">
                    <c:v>2014</c:v>
                  </c:pt>
                  <c:pt idx="7">
                    <c:v>2014</c:v>
                  </c:pt>
                  <c:pt idx="8">
                    <c:v>2014</c:v>
                  </c:pt>
                  <c:pt idx="9">
                    <c:v>2014</c:v>
                  </c:pt>
                  <c:pt idx="10">
                    <c:v>2014</c:v>
                  </c:pt>
                  <c:pt idx="11">
                    <c:v>2014</c:v>
                  </c:pt>
                  <c:pt idx="12">
                    <c:v>2014</c:v>
                  </c:pt>
                  <c:pt idx="13">
                    <c:v>2014</c:v>
                  </c:pt>
                  <c:pt idx="14">
                    <c:v>2014</c:v>
                  </c:pt>
                  <c:pt idx="15">
                    <c:v>2014</c:v>
                  </c:pt>
                </c:lvl>
              </c:multiLvlStrCache>
            </c:multiLvlStrRef>
          </c:cat>
          <c:val>
            <c:numRef>
              <c:f>Reportes!$E$4:$E$19</c:f>
              <c:numCache>
                <c:formatCode>_-[$$-440A]* #,##0.00_-;\-[$$-440A]* #,##0.00_-;_-[$$-440A]* "-"??_-;_-@_-</c:formatCode>
                <c:ptCount val="16"/>
                <c:pt idx="0">
                  <c:v>763603.03</c:v>
                </c:pt>
                <c:pt idx="1">
                  <c:v>1657795.0999999901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814028.679999999</c:v>
                </c:pt>
                <c:pt idx="5">
                  <c:v>1148547.3899999999</c:v>
                </c:pt>
                <c:pt idx="6">
                  <c:v>669866.87</c:v>
                </c:pt>
                <c:pt idx="7">
                  <c:v>929984.56999999902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923865.679999999</c:v>
                </c:pt>
                <c:pt idx="11">
                  <c:v>791066.41999999899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604600.19999999995</c:v>
                </c:pt>
                <c:pt idx="15">
                  <c:v>2025765.9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C-7541-AC60-B848C8C05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9215232"/>
        <c:axId val="1709219264"/>
      </c:barChart>
      <c:catAx>
        <c:axId val="17092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709219264"/>
        <c:crosses val="autoZero"/>
        <c:auto val="1"/>
        <c:lblAlgn val="ctr"/>
        <c:lblOffset val="100"/>
        <c:noMultiLvlLbl val="0"/>
      </c:catAx>
      <c:valAx>
        <c:axId val="17092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40A]* #,##0.00_-;\-[$$-440A]* #,##0.00_-;_-[$$-440A]* &quot;-&quot;??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7092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001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001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Top</a:t>
            </a:r>
            <a:r>
              <a:rPr lang="es-ES_tradnl" baseline="0"/>
              <a:t> 5 productos más vendidos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Reportes!$W$5</c:f>
              <c:strCache>
                <c:ptCount val="1"/>
                <c:pt idx="0">
                  <c:v>Ganancias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Reportes!$V$6:$V$10</c:f>
              <c:strCache>
                <c:ptCount val="5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</c:strCache>
            </c:strRef>
          </c:cat>
          <c:val>
            <c:numRef>
              <c:f>Reportes!$W$6:$W$10</c:f>
              <c:numCache>
                <c:formatCode>_-[$$-440A]* #,##0.00_-;\-[$$-440A]* #,##0.00_-;_-[$$-440A]* "-"??_-;_-@_-</c:formatCode>
                <c:ptCount val="5"/>
                <c:pt idx="0">
                  <c:v>4797437.9499999899</c:v>
                </c:pt>
                <c:pt idx="1">
                  <c:v>3034608.02</c:v>
                </c:pt>
                <c:pt idx="2">
                  <c:v>2814104.06</c:v>
                </c:pt>
                <c:pt idx="3">
                  <c:v>2305992.4649999999</c:v>
                </c:pt>
                <c:pt idx="4">
                  <c:v>2114754.88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7-7541-AFB3-20C885F256F6}"/>
            </c:ext>
          </c:extLst>
        </c:ser>
        <c:ser>
          <c:idx val="1"/>
          <c:order val="1"/>
          <c:tx>
            <c:strRef>
              <c:f>Reportes!$X$5</c:f>
              <c:strCache>
                <c:ptCount val="1"/>
                <c:pt idx="0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Reportes!$V$6:$V$10</c:f>
              <c:strCache>
                <c:ptCount val="5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</c:strCache>
            </c:strRef>
          </c:cat>
          <c:val>
            <c:numRef>
              <c:f>Reportes!$X$6:$X$10</c:f>
              <c:numCache>
                <c:formatCode>General</c:formatCode>
                <c:ptCount val="5"/>
                <c:pt idx="0">
                  <c:v>338239.5</c:v>
                </c:pt>
                <c:pt idx="1">
                  <c:v>168783</c:v>
                </c:pt>
                <c:pt idx="2">
                  <c:v>155315</c:v>
                </c:pt>
                <c:pt idx="3">
                  <c:v>162424.5</c:v>
                </c:pt>
                <c:pt idx="4">
                  <c:v>154198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7-7541-AFB3-20C885F25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258240"/>
        <c:axId val="1662269440"/>
      </c:barChart>
      <c:catAx>
        <c:axId val="166225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662269440"/>
        <c:crosses val="autoZero"/>
        <c:auto val="1"/>
        <c:lblAlgn val="ctr"/>
        <c:lblOffset val="100"/>
        <c:noMultiLvlLbl val="0"/>
      </c:catAx>
      <c:valAx>
        <c:axId val="16622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40A]* #,##0.00_-;\-[$$-440A]* #,##0.00_-;_-[$$-44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66225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001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001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001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Reportes!$T$26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Reportes!$R$27:$S$39</c15:sqref>
                  </c15:fullRef>
                  <c15:levelRef>
                    <c15:sqref>Reportes!$R$27:$R$39</c15:sqref>
                  </c15:levelRef>
                </c:ext>
              </c:extLst>
              <c:f>Reportes!$R$27:$R$39</c:f>
              <c:strCache>
                <c:ptCount val="13"/>
                <c:pt idx="0">
                  <c:v>Amarilla</c:v>
                </c:pt>
                <c:pt idx="1">
                  <c:v>Paseo</c:v>
                </c:pt>
                <c:pt idx="2">
                  <c:v>VTT</c:v>
                </c:pt>
                <c:pt idx="3">
                  <c:v>Montana</c:v>
                </c:pt>
                <c:pt idx="4">
                  <c:v>Velo</c:v>
                </c:pt>
                <c:pt idx="5">
                  <c:v>Carretera</c:v>
                </c:pt>
                <c:pt idx="6">
                  <c:v>Montana</c:v>
                </c:pt>
                <c:pt idx="7">
                  <c:v>Carretera</c:v>
                </c:pt>
                <c:pt idx="8">
                  <c:v>Amarilla</c:v>
                </c:pt>
                <c:pt idx="9">
                  <c:v>VTT</c:v>
                </c:pt>
                <c:pt idx="10">
                  <c:v>Velo</c:v>
                </c:pt>
                <c:pt idx="11">
                  <c:v>Paseo</c:v>
                </c:pt>
                <c:pt idx="12">
                  <c:v>Totales</c:v>
                </c:pt>
              </c:strCache>
            </c:strRef>
          </c:cat>
          <c:val>
            <c:numRef>
              <c:f>Reportes!$T$27:$T$39</c:f>
              <c:numCache>
                <c:formatCode>_-[$$-440A]* #,##0.00_-;\-[$$-440A]* #,##0.00_-;_-[$$-440A]* "-"??_-;_-@_-</c:formatCode>
                <c:ptCount val="13"/>
                <c:pt idx="0">
                  <c:v>3519132.53</c:v>
                </c:pt>
                <c:pt idx="1">
                  <c:v>5914747.0899999999</c:v>
                </c:pt>
                <c:pt idx="2">
                  <c:v>5401427.2300000004</c:v>
                </c:pt>
                <c:pt idx="3">
                  <c:v>3975783.04</c:v>
                </c:pt>
                <c:pt idx="4">
                  <c:v>6197299.7599999998</c:v>
                </c:pt>
                <c:pt idx="5">
                  <c:v>1406865.86</c:v>
                </c:pt>
                <c:pt idx="6">
                  <c:v>11415018.839999899</c:v>
                </c:pt>
                <c:pt idx="7">
                  <c:v>12408442.025</c:v>
                </c:pt>
                <c:pt idx="8">
                  <c:v>14227983.529999901</c:v>
                </c:pt>
                <c:pt idx="9">
                  <c:v>15110493.7899999</c:v>
                </c:pt>
                <c:pt idx="10">
                  <c:v>12052759.705</c:v>
                </c:pt>
                <c:pt idx="11">
                  <c:v>27096396.859999999</c:v>
                </c:pt>
                <c:pt idx="12">
                  <c:v>118726350.25999969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A-0B40-A046-64C5B207C47E}"/>
            </c:ext>
          </c:extLst>
        </c:ser>
        <c:ser>
          <c:idx val="1"/>
          <c:order val="1"/>
          <c:tx>
            <c:strRef>
              <c:f>Reportes!$U$26</c:f>
              <c:strCache>
                <c:ptCount val="1"/>
                <c:pt idx="0">
                  <c:v>Ganancias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Reportes!$R$27:$S$39</c15:sqref>
                  </c15:fullRef>
                  <c15:levelRef>
                    <c15:sqref>Reportes!$R$27:$R$39</c15:sqref>
                  </c15:levelRef>
                </c:ext>
              </c:extLst>
              <c:f>Reportes!$R$27:$R$39</c:f>
              <c:strCache>
                <c:ptCount val="13"/>
                <c:pt idx="0">
                  <c:v>Amarilla</c:v>
                </c:pt>
                <c:pt idx="1">
                  <c:v>Paseo</c:v>
                </c:pt>
                <c:pt idx="2">
                  <c:v>VTT</c:v>
                </c:pt>
                <c:pt idx="3">
                  <c:v>Montana</c:v>
                </c:pt>
                <c:pt idx="4">
                  <c:v>Velo</c:v>
                </c:pt>
                <c:pt idx="5">
                  <c:v>Carretera</c:v>
                </c:pt>
                <c:pt idx="6">
                  <c:v>Montana</c:v>
                </c:pt>
                <c:pt idx="7">
                  <c:v>Carretera</c:v>
                </c:pt>
                <c:pt idx="8">
                  <c:v>Amarilla</c:v>
                </c:pt>
                <c:pt idx="9">
                  <c:v>VTT</c:v>
                </c:pt>
                <c:pt idx="10">
                  <c:v>Velo</c:v>
                </c:pt>
                <c:pt idx="11">
                  <c:v>Paseo</c:v>
                </c:pt>
                <c:pt idx="12">
                  <c:v>Totales</c:v>
                </c:pt>
              </c:strCache>
            </c:strRef>
          </c:cat>
          <c:val>
            <c:numRef>
              <c:f>Reportes!$U$27:$U$39</c:f>
              <c:numCache>
                <c:formatCode>_-[$$-440A]* #,##0.00_-;\-[$$-440A]* #,##0.00_-;_-[$$-440A]* "-"??_-;_-@_-</c:formatCode>
                <c:ptCount val="13"/>
                <c:pt idx="0">
                  <c:v>781949.53</c:v>
                </c:pt>
                <c:pt idx="1">
                  <c:v>1099853.0899999901</c:v>
                </c:pt>
                <c:pt idx="2">
                  <c:v>878185.23</c:v>
                </c:pt>
                <c:pt idx="3">
                  <c:v>457758.03999999899</c:v>
                </c:pt>
                <c:pt idx="4">
                  <c:v>621949.76</c:v>
                </c:pt>
                <c:pt idx="5">
                  <c:v>38768.86</c:v>
                </c:pt>
                <c:pt idx="6">
                  <c:v>1656996.84</c:v>
                </c:pt>
                <c:pt idx="7">
                  <c:v>1788036.0249999999</c:v>
                </c:pt>
                <c:pt idx="8">
                  <c:v>2032154.52999999</c:v>
                </c:pt>
                <c:pt idx="9">
                  <c:v>2156422.79</c:v>
                </c:pt>
                <c:pt idx="10">
                  <c:v>1684042.7049999901</c:v>
                </c:pt>
                <c:pt idx="11">
                  <c:v>3697584.86</c:v>
                </c:pt>
                <c:pt idx="12">
                  <c:v>16893702.259999968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A-0B40-A046-64C5B207C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947072"/>
        <c:axId val="1651942144"/>
      </c:barChart>
      <c:lineChart>
        <c:grouping val="standard"/>
        <c:varyColors val="0"/>
        <c:ser>
          <c:idx val="2"/>
          <c:order val="2"/>
          <c:tx>
            <c:strRef>
              <c:f>Reportes!$V$26</c:f>
              <c:strCache>
                <c:ptCount val="1"/>
                <c:pt idx="0">
                  <c:v>Margen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Reportes!$R$27:$S$39</c15:sqref>
                  </c15:fullRef>
                  <c15:levelRef>
                    <c15:sqref>Reportes!$R$27:$R$39</c15:sqref>
                  </c15:levelRef>
                </c:ext>
              </c:extLst>
              <c:f>Reportes!$R$27:$R$39</c:f>
              <c:strCache>
                <c:ptCount val="13"/>
                <c:pt idx="0">
                  <c:v>Amarilla</c:v>
                </c:pt>
                <c:pt idx="1">
                  <c:v>Paseo</c:v>
                </c:pt>
                <c:pt idx="2">
                  <c:v>VTT</c:v>
                </c:pt>
                <c:pt idx="3">
                  <c:v>Montana</c:v>
                </c:pt>
                <c:pt idx="4">
                  <c:v>Velo</c:v>
                </c:pt>
                <c:pt idx="5">
                  <c:v>Carretera</c:v>
                </c:pt>
                <c:pt idx="6">
                  <c:v>Montana</c:v>
                </c:pt>
                <c:pt idx="7">
                  <c:v>Carretera</c:v>
                </c:pt>
                <c:pt idx="8">
                  <c:v>Amarilla</c:v>
                </c:pt>
                <c:pt idx="9">
                  <c:v>VTT</c:v>
                </c:pt>
                <c:pt idx="10">
                  <c:v>Velo</c:v>
                </c:pt>
                <c:pt idx="11">
                  <c:v>Paseo</c:v>
                </c:pt>
                <c:pt idx="12">
                  <c:v>Totales</c:v>
                </c:pt>
              </c:strCache>
            </c:strRef>
          </c:cat>
          <c:val>
            <c:numRef>
              <c:f>Reportes!$V$27:$V$39</c:f>
              <c:numCache>
                <c:formatCode>0%</c:formatCode>
                <c:ptCount val="13"/>
                <c:pt idx="0">
                  <c:v>0.22220000000000001</c:v>
                </c:pt>
                <c:pt idx="1">
                  <c:v>0.186</c:v>
                </c:pt>
                <c:pt idx="2">
                  <c:v>0.16259999999999999</c:v>
                </c:pt>
                <c:pt idx="3">
                  <c:v>0.11509999999999999</c:v>
                </c:pt>
                <c:pt idx="4">
                  <c:v>0.1004</c:v>
                </c:pt>
                <c:pt idx="5">
                  <c:v>2.76E-2</c:v>
                </c:pt>
                <c:pt idx="6">
                  <c:v>0.1452</c:v>
                </c:pt>
                <c:pt idx="7">
                  <c:v>0.14410000000000001</c:v>
                </c:pt>
                <c:pt idx="8">
                  <c:v>0.14280000000000001</c:v>
                </c:pt>
                <c:pt idx="9">
                  <c:v>0.14269999999999999</c:v>
                </c:pt>
                <c:pt idx="10">
                  <c:v>0.13969999999999999</c:v>
                </c:pt>
                <c:pt idx="11">
                  <c:v>0.13650000000000001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A-0B40-A046-64C5B207C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333952"/>
        <c:axId val="1709337984"/>
      </c:lineChart>
      <c:catAx>
        <c:axId val="16519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651942144"/>
        <c:crosses val="autoZero"/>
        <c:auto val="1"/>
        <c:lblAlgn val="ctr"/>
        <c:lblOffset val="100"/>
        <c:noMultiLvlLbl val="0"/>
      </c:catAx>
      <c:valAx>
        <c:axId val="16519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40A]* #,##0.00_-;\-[$$-440A]* #,##0.00_-;_-[$$-44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651947072"/>
        <c:crosses val="autoZero"/>
        <c:crossBetween val="between"/>
      </c:valAx>
      <c:valAx>
        <c:axId val="170933798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709333952"/>
        <c:crosses val="max"/>
        <c:crossBetween val="between"/>
      </c:valAx>
      <c:catAx>
        <c:axId val="1709333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09337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001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001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Gráfico General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001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Gráfico!$C$1:$C$3</c:f>
              <c:strCache>
                <c:ptCount val="3"/>
                <c:pt idx="0">
                  <c:v>Ventas por mes </c:v>
                </c:pt>
                <c:pt idx="2">
                  <c:v>Ventas Totatles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Gráfico!$A$4:$B$91</c15:sqref>
                  </c15:fullRef>
                  <c15:levelRef>
                    <c15:sqref>Gráfico!$B$4:$B$91</c15:sqref>
                  </c15:levelRef>
                </c:ext>
              </c:extLst>
              <c:f>Gráfico!$B$4:$B$91</c:f>
              <c:strCache>
                <c:ptCount val="87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  <c:pt idx="13">
                  <c:v>Octubre</c:v>
                </c:pt>
                <c:pt idx="14">
                  <c:v>Noviembre</c:v>
                </c:pt>
                <c:pt idx="15">
                  <c:v>Diciembre</c:v>
                </c:pt>
                <c:pt idx="20">
                  <c:v>Pais</c:v>
                </c:pt>
                <c:pt idx="21">
                  <c:v>Canada</c:v>
                </c:pt>
                <c:pt idx="22">
                  <c:v>France</c:v>
                </c:pt>
                <c:pt idx="23">
                  <c:v>Germany</c:v>
                </c:pt>
                <c:pt idx="24">
                  <c:v>Mexico</c:v>
                </c:pt>
                <c:pt idx="25">
                  <c:v>TOTAL</c:v>
                </c:pt>
                <c:pt idx="26">
                  <c:v>United States of America</c:v>
                </c:pt>
                <c:pt idx="27">
                  <c:v>Canada</c:v>
                </c:pt>
                <c:pt idx="28">
                  <c:v>France</c:v>
                </c:pt>
                <c:pt idx="29">
                  <c:v>Germany</c:v>
                </c:pt>
                <c:pt idx="30">
                  <c:v>Mexico</c:v>
                </c:pt>
                <c:pt idx="31">
                  <c:v>TOTAL</c:v>
                </c:pt>
                <c:pt idx="32">
                  <c:v>United States of America</c:v>
                </c:pt>
                <c:pt idx="33">
                  <c:v>Canada</c:v>
                </c:pt>
                <c:pt idx="34">
                  <c:v>France</c:v>
                </c:pt>
                <c:pt idx="35">
                  <c:v>Germany</c:v>
                </c:pt>
                <c:pt idx="36">
                  <c:v>Mexico</c:v>
                </c:pt>
                <c:pt idx="37">
                  <c:v>TOTAL</c:v>
                </c:pt>
                <c:pt idx="38">
                  <c:v>United States of America</c:v>
                </c:pt>
                <c:pt idx="39">
                  <c:v>Canada</c:v>
                </c:pt>
                <c:pt idx="40">
                  <c:v>France</c:v>
                </c:pt>
                <c:pt idx="41">
                  <c:v>Germany</c:v>
                </c:pt>
                <c:pt idx="42">
                  <c:v>Mexico</c:v>
                </c:pt>
                <c:pt idx="43">
                  <c:v>TOTAL</c:v>
                </c:pt>
                <c:pt idx="44">
                  <c:v>United States of America</c:v>
                </c:pt>
                <c:pt idx="45">
                  <c:v>Canada</c:v>
                </c:pt>
                <c:pt idx="46">
                  <c:v>France</c:v>
                </c:pt>
                <c:pt idx="47">
                  <c:v>Germany</c:v>
                </c:pt>
                <c:pt idx="48">
                  <c:v>Mexico</c:v>
                </c:pt>
                <c:pt idx="49">
                  <c:v>TOTAL</c:v>
                </c:pt>
                <c:pt idx="50">
                  <c:v>United States of America</c:v>
                </c:pt>
                <c:pt idx="55">
                  <c:v>Cantidad de transacciones</c:v>
                </c:pt>
                <c:pt idx="56">
                  <c:v>492</c:v>
                </c:pt>
                <c:pt idx="57">
                  <c:v>53</c:v>
                </c:pt>
                <c:pt idx="58">
                  <c:v>155</c:v>
                </c:pt>
                <c:pt idx="59">
                  <c:v>Totales</c:v>
                </c:pt>
                <c:pt idx="63">
                  <c:v>Año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2014</c:v>
                </c:pt>
                <c:pt idx="71">
                  <c:v>2014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80">
                  <c:v>Ganancias</c:v>
                </c:pt>
                <c:pt idx="81">
                  <c:v> $4,797,437.95 </c:v>
                </c:pt>
                <c:pt idx="82">
                  <c:v> $3,034,608.02 </c:v>
                </c:pt>
                <c:pt idx="83">
                  <c:v> $2,814,104.06 </c:v>
                </c:pt>
                <c:pt idx="84">
                  <c:v> $2,305,992.47 </c:v>
                </c:pt>
                <c:pt idx="85">
                  <c:v> $2,114,754.88 </c:v>
                </c:pt>
                <c:pt idx="86">
                  <c:v> $15,066,897.38 </c:v>
                </c:pt>
              </c:strCache>
            </c:strRef>
          </c:cat>
          <c:val>
            <c:numRef>
              <c:f>Gráfico!$C$4:$C$91</c:f>
              <c:numCache>
                <c:formatCode>_-[$$-440A]* #,##0.00_-;\-[$$-440A]* #,##0.00_-;_-[$$-440A]* "-"??_-;_-@_-</c:formatCode>
                <c:ptCount val="88"/>
                <c:pt idx="0">
                  <c:v>4484000.03</c:v>
                </c:pt>
                <c:pt idx="1">
                  <c:v>9295611.0999999903</c:v>
                </c:pt>
                <c:pt idx="2">
                  <c:v>7267203.2999999998</c:v>
                </c:pt>
                <c:pt idx="3">
                  <c:v>5368441.08</c:v>
                </c:pt>
                <c:pt idx="4">
                  <c:v>6607761.6799999997</c:v>
                </c:pt>
                <c:pt idx="5">
                  <c:v>7297531.3899999997</c:v>
                </c:pt>
                <c:pt idx="6">
                  <c:v>5586859.8699999899</c:v>
                </c:pt>
                <c:pt idx="7">
                  <c:v>6964775.0700000003</c:v>
                </c:pt>
                <c:pt idx="8">
                  <c:v>6210211.0599999996</c:v>
                </c:pt>
                <c:pt idx="9">
                  <c:v>9518893.8199999891</c:v>
                </c:pt>
                <c:pt idx="10">
                  <c:v>8102920.1799999997</c:v>
                </c:pt>
                <c:pt idx="11">
                  <c:v>5864622.4199999999</c:v>
                </c:pt>
                <c:pt idx="12">
                  <c:v>6398697.2400000002</c:v>
                </c:pt>
                <c:pt idx="13">
                  <c:v>12375819.919999899</c:v>
                </c:pt>
                <c:pt idx="14">
                  <c:v>5384214.2000000002</c:v>
                </c:pt>
                <c:pt idx="15">
                  <c:v>11998787.9</c:v>
                </c:pt>
                <c:pt idx="16">
                  <c:v>118726350.25999989</c:v>
                </c:pt>
                <c:pt idx="20" formatCode="General">
                  <c:v>0</c:v>
                </c:pt>
                <c:pt idx="21">
                  <c:v>491164.13999999902</c:v>
                </c:pt>
                <c:pt idx="22">
                  <c:v>372090.36</c:v>
                </c:pt>
                <c:pt idx="23">
                  <c:v>336425.87999999902</c:v>
                </c:pt>
                <c:pt idx="24">
                  <c:v>234379.08</c:v>
                </c:pt>
                <c:pt idx="25">
                  <c:v>1800593.6399999899</c:v>
                </c:pt>
                <c:pt idx="26">
                  <c:v>366534.179999999</c:v>
                </c:pt>
                <c:pt idx="27">
                  <c:v>3967491.25</c:v>
                </c:pt>
                <c:pt idx="28">
                  <c:v>3890890.625</c:v>
                </c:pt>
                <c:pt idx="29">
                  <c:v>4086826.25</c:v>
                </c:pt>
                <c:pt idx="30">
                  <c:v>3315881.25</c:v>
                </c:pt>
                <c:pt idx="31">
                  <c:v>19611694.375</c:v>
                </c:pt>
                <c:pt idx="32">
                  <c:v>4350605</c:v>
                </c:pt>
                <c:pt idx="33">
                  <c:v>10741236.52</c:v>
                </c:pt>
                <c:pt idx="34">
                  <c:v>12127782.7199999</c:v>
                </c:pt>
                <c:pt idx="35">
                  <c:v>11452895.939999901</c:v>
                </c:pt>
                <c:pt idx="36">
                  <c:v>9791599.3799999896</c:v>
                </c:pt>
                <c:pt idx="37">
                  <c:v>52504260.670000002</c:v>
                </c:pt>
                <c:pt idx="38">
                  <c:v>8390746.1099999994</c:v>
                </c:pt>
                <c:pt idx="39">
                  <c:v>510213.97499999998</c:v>
                </c:pt>
                <c:pt idx="40">
                  <c:v>593802.07499999995</c:v>
                </c:pt>
                <c:pt idx="41">
                  <c:v>301344.75</c:v>
                </c:pt>
                <c:pt idx="42">
                  <c:v>511136.4</c:v>
                </c:pt>
                <c:pt idx="43">
                  <c:v>2381883.0750000002</c:v>
                </c:pt>
                <c:pt idx="44">
                  <c:v>465385.87499999901</c:v>
                </c:pt>
                <c:pt idx="45">
                  <c:v>9177549</c:v>
                </c:pt>
                <c:pt idx="46">
                  <c:v>7369606.5</c:v>
                </c:pt>
                <c:pt idx="47">
                  <c:v>7327848</c:v>
                </c:pt>
                <c:pt idx="48">
                  <c:v>7096356</c:v>
                </c:pt>
                <c:pt idx="49">
                  <c:v>42427918.5</c:v>
                </c:pt>
                <c:pt idx="50">
                  <c:v>11456559</c:v>
                </c:pt>
                <c:pt idx="51">
                  <c:v>118726350.25999901</c:v>
                </c:pt>
                <c:pt idx="55" formatCode="General">
                  <c:v>0</c:v>
                </c:pt>
                <c:pt idx="56">
                  <c:v>108426708.724999</c:v>
                </c:pt>
                <c:pt idx="57">
                  <c:v>7943654</c:v>
                </c:pt>
                <c:pt idx="58">
                  <c:v>2355987.5350000001</c:v>
                </c:pt>
                <c:pt idx="59">
                  <c:v>118726350.25999899</c:v>
                </c:pt>
                <c:pt idx="63" formatCode="General">
                  <c:v>0</c:v>
                </c:pt>
                <c:pt idx="64">
                  <c:v>3519132.53</c:v>
                </c:pt>
                <c:pt idx="65">
                  <c:v>5914747.0899999999</c:v>
                </c:pt>
                <c:pt idx="66">
                  <c:v>5401427.2300000004</c:v>
                </c:pt>
                <c:pt idx="67">
                  <c:v>3975783.04</c:v>
                </c:pt>
                <c:pt idx="68">
                  <c:v>6197299.7599999998</c:v>
                </c:pt>
                <c:pt idx="69">
                  <c:v>1406865.86</c:v>
                </c:pt>
                <c:pt idx="70">
                  <c:v>11415018.839999899</c:v>
                </c:pt>
                <c:pt idx="71">
                  <c:v>12408442.025</c:v>
                </c:pt>
                <c:pt idx="72">
                  <c:v>14227983.529999901</c:v>
                </c:pt>
                <c:pt idx="73">
                  <c:v>15110493.7899999</c:v>
                </c:pt>
                <c:pt idx="74">
                  <c:v>12052759.705</c:v>
                </c:pt>
                <c:pt idx="75">
                  <c:v>27096396.859999999</c:v>
                </c:pt>
                <c:pt idx="76">
                  <c:v>118726350.25999969</c:v>
                </c:pt>
                <c:pt idx="80" formatCode="General">
                  <c:v>0</c:v>
                </c:pt>
                <c:pt idx="81" formatCode="General">
                  <c:v>338239.5</c:v>
                </c:pt>
                <c:pt idx="82" formatCode="General">
                  <c:v>168783</c:v>
                </c:pt>
                <c:pt idx="83" formatCode="General">
                  <c:v>155315</c:v>
                </c:pt>
                <c:pt idx="84" formatCode="General">
                  <c:v>162424.5</c:v>
                </c:pt>
                <c:pt idx="85" formatCode="General">
                  <c:v>154198</c:v>
                </c:pt>
                <c:pt idx="86" formatCode="General">
                  <c:v>978960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D-6245-BB0C-BA622B5B7225}"/>
            </c:ext>
          </c:extLst>
        </c:ser>
        <c:ser>
          <c:idx val="1"/>
          <c:order val="1"/>
          <c:tx>
            <c:strRef>
              <c:f>Gráfico!$D$1:$D$3</c:f>
              <c:strCache>
                <c:ptCount val="3"/>
                <c:pt idx="0">
                  <c:v>Ventas por mes </c:v>
                </c:pt>
                <c:pt idx="2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Gráfico!$A$4:$B$91</c15:sqref>
                  </c15:fullRef>
                  <c15:levelRef>
                    <c15:sqref>Gráfico!$B$4:$B$91</c15:sqref>
                  </c15:levelRef>
                </c:ext>
              </c:extLst>
              <c:f>Gráfico!$B$4:$B$91</c:f>
              <c:strCache>
                <c:ptCount val="87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  <c:pt idx="13">
                  <c:v>Octubre</c:v>
                </c:pt>
                <c:pt idx="14">
                  <c:v>Noviembre</c:v>
                </c:pt>
                <c:pt idx="15">
                  <c:v>Diciembre</c:v>
                </c:pt>
                <c:pt idx="20">
                  <c:v>Pais</c:v>
                </c:pt>
                <c:pt idx="21">
                  <c:v>Canada</c:v>
                </c:pt>
                <c:pt idx="22">
                  <c:v>France</c:v>
                </c:pt>
                <c:pt idx="23">
                  <c:v>Germany</c:v>
                </c:pt>
                <c:pt idx="24">
                  <c:v>Mexico</c:v>
                </c:pt>
                <c:pt idx="25">
                  <c:v>TOTAL</c:v>
                </c:pt>
                <c:pt idx="26">
                  <c:v>United States of America</c:v>
                </c:pt>
                <c:pt idx="27">
                  <c:v>Canada</c:v>
                </c:pt>
                <c:pt idx="28">
                  <c:v>France</c:v>
                </c:pt>
                <c:pt idx="29">
                  <c:v>Germany</c:v>
                </c:pt>
                <c:pt idx="30">
                  <c:v>Mexico</c:v>
                </c:pt>
                <c:pt idx="31">
                  <c:v>TOTAL</c:v>
                </c:pt>
                <c:pt idx="32">
                  <c:v>United States of America</c:v>
                </c:pt>
                <c:pt idx="33">
                  <c:v>Canada</c:v>
                </c:pt>
                <c:pt idx="34">
                  <c:v>France</c:v>
                </c:pt>
                <c:pt idx="35">
                  <c:v>Germany</c:v>
                </c:pt>
                <c:pt idx="36">
                  <c:v>Mexico</c:v>
                </c:pt>
                <c:pt idx="37">
                  <c:v>TOTAL</c:v>
                </c:pt>
                <c:pt idx="38">
                  <c:v>United States of America</c:v>
                </c:pt>
                <c:pt idx="39">
                  <c:v>Canada</c:v>
                </c:pt>
                <c:pt idx="40">
                  <c:v>France</c:v>
                </c:pt>
                <c:pt idx="41">
                  <c:v>Germany</c:v>
                </c:pt>
                <c:pt idx="42">
                  <c:v>Mexico</c:v>
                </c:pt>
                <c:pt idx="43">
                  <c:v>TOTAL</c:v>
                </c:pt>
                <c:pt idx="44">
                  <c:v>United States of America</c:v>
                </c:pt>
                <c:pt idx="45">
                  <c:v>Canada</c:v>
                </c:pt>
                <c:pt idx="46">
                  <c:v>France</c:v>
                </c:pt>
                <c:pt idx="47">
                  <c:v>Germany</c:v>
                </c:pt>
                <c:pt idx="48">
                  <c:v>Mexico</c:v>
                </c:pt>
                <c:pt idx="49">
                  <c:v>TOTAL</c:v>
                </c:pt>
                <c:pt idx="50">
                  <c:v>United States of America</c:v>
                </c:pt>
                <c:pt idx="55">
                  <c:v>Cantidad de transacciones</c:v>
                </c:pt>
                <c:pt idx="56">
                  <c:v>492</c:v>
                </c:pt>
                <c:pt idx="57">
                  <c:v>53</c:v>
                </c:pt>
                <c:pt idx="58">
                  <c:v>155</c:v>
                </c:pt>
                <c:pt idx="59">
                  <c:v>Totales</c:v>
                </c:pt>
                <c:pt idx="63">
                  <c:v>Año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2014</c:v>
                </c:pt>
                <c:pt idx="71">
                  <c:v>2014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80">
                  <c:v>Ganancias</c:v>
                </c:pt>
                <c:pt idx="81">
                  <c:v> $4,797,437.95 </c:v>
                </c:pt>
                <c:pt idx="82">
                  <c:v> $3,034,608.02 </c:v>
                </c:pt>
                <c:pt idx="83">
                  <c:v> $2,814,104.06 </c:v>
                </c:pt>
                <c:pt idx="84">
                  <c:v> $2,305,992.47 </c:v>
                </c:pt>
                <c:pt idx="85">
                  <c:v> $2,114,754.88 </c:v>
                </c:pt>
                <c:pt idx="86">
                  <c:v> $15,066,897.38 </c:v>
                </c:pt>
              </c:strCache>
            </c:strRef>
          </c:cat>
          <c:val>
            <c:numRef>
              <c:f>Gráfico!$D$4:$D$91</c:f>
              <c:numCache>
                <c:formatCode>General</c:formatCode>
                <c:ptCount val="88"/>
                <c:pt idx="0">
                  <c:v>50601</c:v>
                </c:pt>
                <c:pt idx="1">
                  <c:v>95622</c:v>
                </c:pt>
                <c:pt idx="2">
                  <c:v>65481</c:v>
                </c:pt>
                <c:pt idx="3">
                  <c:v>52970</c:v>
                </c:pt>
                <c:pt idx="4">
                  <c:v>67835.5</c:v>
                </c:pt>
                <c:pt idx="5">
                  <c:v>55115</c:v>
                </c:pt>
                <c:pt idx="6">
                  <c:v>53420</c:v>
                </c:pt>
                <c:pt idx="7">
                  <c:v>78886.5</c:v>
                </c:pt>
                <c:pt idx="8">
                  <c:v>51771</c:v>
                </c:pt>
                <c:pt idx="9">
                  <c:v>103302</c:v>
                </c:pt>
                <c:pt idx="10">
                  <c:v>69349</c:v>
                </c:pt>
                <c:pt idx="11">
                  <c:v>60705</c:v>
                </c:pt>
                <c:pt idx="12">
                  <c:v>57280</c:v>
                </c:pt>
                <c:pt idx="13">
                  <c:v>105482</c:v>
                </c:pt>
                <c:pt idx="14">
                  <c:v>55650</c:v>
                </c:pt>
                <c:pt idx="15">
                  <c:v>102336</c:v>
                </c:pt>
                <c:pt idx="16">
                  <c:v>1125806</c:v>
                </c:pt>
                <c:pt idx="20">
                  <c:v>0</c:v>
                </c:pt>
                <c:pt idx="21" formatCode="_-[$$-440A]* #,##0.00_-;\-[$$-440A]* #,##0.00_-;_-[$$-440A]* &quot;-&quot;??_-;_-@_-">
                  <c:v>358978.13999999902</c:v>
                </c:pt>
                <c:pt idx="22" formatCode="_-[$$-440A]* #,##0.00_-;\-[$$-440A]* #,##0.00_-;_-[$$-440A]* &quot;-&quot;??_-;_-@_-">
                  <c:v>271581.36</c:v>
                </c:pt>
                <c:pt idx="23" formatCode="_-[$$-440A]* #,##0.00_-;\-[$$-440A]* #,##0.00_-;_-[$$-440A]* &quot;-&quot;??_-;_-@_-">
                  <c:v>247358.87999999899</c:v>
                </c:pt>
                <c:pt idx="24" formatCode="_-[$$-440A]* #,##0.00_-;\-[$$-440A]* #,##0.00_-;_-[$$-440A]* &quot;-&quot;??_-;_-@_-">
                  <c:v>170890.08</c:v>
                </c:pt>
                <c:pt idx="25" formatCode="_-[$$-440A]* #,##0.00_-;\-[$$-440A]* #,##0.00_-;_-[$$-440A]* &quot;-&quot;??_-;_-@_-">
                  <c:v>1316803.1399999999</c:v>
                </c:pt>
                <c:pt idx="26" formatCode="_-[$$-440A]* #,##0.00_-;\-[$$-440A]* #,##0.00_-;_-[$$-440A]* &quot;-&quot;??_-;_-@_-">
                  <c:v>267994.679999999</c:v>
                </c:pt>
                <c:pt idx="27" formatCode="_-[$$-440A]* #,##0.00_-;\-[$$-440A]* #,##0.00_-;_-[$$-440A]* &quot;-&quot;??_-;_-@_-">
                  <c:v>-121508.75</c:v>
                </c:pt>
                <c:pt idx="28" formatCode="_-[$$-440A]* #,##0.00_-;\-[$$-440A]* #,##0.00_-;_-[$$-440A]* &quot;-&quot;??_-;_-@_-">
                  <c:v>-95749.375</c:v>
                </c:pt>
                <c:pt idx="29" formatCode="_-[$$-440A]* #,##0.00_-;\-[$$-440A]* #,##0.00_-;_-[$$-440A]* &quot;-&quot;??_-;_-@_-">
                  <c:v>-101473.75</c:v>
                </c:pt>
                <c:pt idx="30" formatCode="_-[$$-440A]* #,##0.00_-;\-[$$-440A]* #,##0.00_-;_-[$$-440A]* &quot;-&quot;??_-;_-@_-">
                  <c:v>-120678.75</c:v>
                </c:pt>
                <c:pt idx="31" formatCode="_-[$$-440A]* #,##0.00_-;\-[$$-440A]* #,##0.00_-;_-[$$-440A]* &quot;-&quot;??_-;_-@_-">
                  <c:v>-614545.625</c:v>
                </c:pt>
                <c:pt idx="32" formatCode="_-[$$-440A]* #,##0.00_-;\-[$$-440A]* #,##0.00_-;_-[$$-440A]* &quot;-&quot;??_-;_-@_-">
                  <c:v>-175135</c:v>
                </c:pt>
                <c:pt idx="33" formatCode="_-[$$-440A]* #,##0.00_-;\-[$$-440A]* #,##0.00_-;_-[$$-440A]* &quot;-&quot;??_-;_-@_-">
                  <c:v>2258471.52</c:v>
                </c:pt>
                <c:pt idx="34" formatCode="_-[$$-440A]* #,##0.00_-;\-[$$-440A]* #,##0.00_-;_-[$$-440A]* &quot;-&quot;??_-;_-@_-">
                  <c:v>2709915.22</c:v>
                </c:pt>
                <c:pt idx="35" formatCode="_-[$$-440A]* #,##0.00_-;\-[$$-440A]* #,##0.00_-;_-[$$-440A]* &quot;-&quot;??_-;_-@_-">
                  <c:v>2677175.94</c:v>
                </c:pt>
                <c:pt idx="36" formatCode="_-[$$-440A]* #,##0.00_-;\-[$$-440A]* #,##0.00_-;_-[$$-440A]* &quot;-&quot;??_-;_-@_-">
                  <c:v>2039159.38</c:v>
                </c:pt>
                <c:pt idx="37" formatCode="_-[$$-440A]* #,##0.00_-;\-[$$-440A]* #,##0.00_-;_-[$$-440A]* &quot;-&quot;??_-;_-@_-">
                  <c:v>11388173.169999899</c:v>
                </c:pt>
                <c:pt idx="38" formatCode="_-[$$-440A]* #,##0.00_-;\-[$$-440A]* #,##0.00_-;_-[$$-440A]* &quot;-&quot;??_-;_-@_-">
                  <c:v>1703451.1099999901</c:v>
                </c:pt>
                <c:pt idx="39" formatCode="_-[$$-440A]* #,##0.00_-;\-[$$-440A]* #,##0.00_-;_-[$$-440A]* &quot;-&quot;??_-;_-@_-">
                  <c:v>132488.97499999899</c:v>
                </c:pt>
                <c:pt idx="40" formatCode="_-[$$-440A]* #,##0.00_-;\-[$$-440A]* #,##0.00_-;_-[$$-440A]* &quot;-&quot;??_-;_-@_-">
                  <c:v>164542.07499999899</c:v>
                </c:pt>
                <c:pt idx="41" formatCode="_-[$$-440A]* #,##0.00_-;\-[$$-440A]* #,##0.00_-;_-[$$-440A]* &quot;-&quot;??_-;_-@_-">
                  <c:v>85354.75</c:v>
                </c:pt>
                <c:pt idx="42" formatCode="_-[$$-440A]* #,##0.00_-;\-[$$-440A]* #,##0.00_-;_-[$$-440A]* &quot;-&quot;??_-;_-@_-">
                  <c:v>150546.4</c:v>
                </c:pt>
                <c:pt idx="43" formatCode="_-[$$-440A]* #,##0.00_-;\-[$$-440A]* #,##0.00_-;_-[$$-440A]* &quot;-&quot;??_-;_-@_-">
                  <c:v>660103.07499999902</c:v>
                </c:pt>
                <c:pt idx="44" formatCode="_-[$$-440A]* #,##0.00_-;\-[$$-440A]* #,##0.00_-;_-[$$-440A]* &quot;-&quot;??_-;_-@_-">
                  <c:v>127170.875</c:v>
                </c:pt>
                <c:pt idx="45" formatCode="_-[$$-440A]* #,##0.00_-;\-[$$-440A]* #,##0.00_-;_-[$$-440A]* &quot;-&quot;??_-;_-@_-">
                  <c:v>900799</c:v>
                </c:pt>
                <c:pt idx="46" formatCode="_-[$$-440A]* #,##0.00_-;\-[$$-440A]* #,##0.00_-;_-[$$-440A]* &quot;-&quot;??_-;_-@_-">
                  <c:v>730731.5</c:v>
                </c:pt>
                <c:pt idx="47" formatCode="_-[$$-440A]* #,##0.00_-;\-[$$-440A]* #,##0.00_-;_-[$$-440A]* &quot;-&quot;??_-;_-@_-">
                  <c:v>771973</c:v>
                </c:pt>
                <c:pt idx="48" formatCode="_-[$$-440A]* #,##0.00_-;\-[$$-440A]* #,##0.00_-;_-[$$-440A]* &quot;-&quot;??_-;_-@_-">
                  <c:v>667606</c:v>
                </c:pt>
                <c:pt idx="49" formatCode="_-[$$-440A]* #,##0.00_-;\-[$$-440A]* #,##0.00_-;_-[$$-440A]* &quot;-&quot;??_-;_-@_-">
                  <c:v>4143168.5</c:v>
                </c:pt>
                <c:pt idx="50" formatCode="_-[$$-440A]* #,##0.00_-;\-[$$-440A]* #,##0.00_-;_-[$$-440A]* &quot;-&quot;??_-;_-@_-">
                  <c:v>1072059</c:v>
                </c:pt>
                <c:pt idx="51" formatCode="_-[$$-440A]* #,##0.00_-;\-[$$-440A]* #,##0.00_-;_-[$$-440A]* &quot;-&quot;??_-;_-@_-">
                  <c:v>16893702.260000002</c:v>
                </c:pt>
                <c:pt idx="55">
                  <c:v>0</c:v>
                </c:pt>
                <c:pt idx="56" formatCode="_-[$$-440A]* #,##0.00_-;\-[$$-440A]* #,##0.00_-;_-[$$-440A]* &quot;-&quot;??_-;_-@_-">
                  <c:v>18.704817073170702</c:v>
                </c:pt>
                <c:pt idx="57" formatCode="_-[$$-440A]* #,##0.00_-;\-[$$-440A]* #,##0.00_-;_-[$$-440A]* &quot;-&quot;??_-;_-@_-">
                  <c:v>20.698113207547099</c:v>
                </c:pt>
                <c:pt idx="58" formatCode="_-[$$-440A]* #,##0.00_-;\-[$$-440A]* #,##0.00_-;_-[$$-440A]* &quot;-&quot;??_-;_-@_-">
                  <c:v>4.9089677419354798</c:v>
                </c:pt>
                <c:pt idx="59" formatCode="_-[$$-440A]* #,##0.00_-;\-[$$-440A]* #,##0.00_-;_-[$$-440A]* &quot;-&quot;??_-;_-@_-">
                  <c:v>44.311898022653274</c:v>
                </c:pt>
                <c:pt idx="63">
                  <c:v>0</c:v>
                </c:pt>
                <c:pt idx="64" formatCode="_-[$$-440A]* #,##0.00_-;\-[$$-440A]* #,##0.00_-;_-[$$-440A]* &quot;-&quot;??_-;_-@_-">
                  <c:v>781949.53</c:v>
                </c:pt>
                <c:pt idx="65" formatCode="_-[$$-440A]* #,##0.00_-;\-[$$-440A]* #,##0.00_-;_-[$$-440A]* &quot;-&quot;??_-;_-@_-">
                  <c:v>1099853.0899999901</c:v>
                </c:pt>
                <c:pt idx="66" formatCode="_-[$$-440A]* #,##0.00_-;\-[$$-440A]* #,##0.00_-;_-[$$-440A]* &quot;-&quot;??_-;_-@_-">
                  <c:v>878185.23</c:v>
                </c:pt>
                <c:pt idx="67" formatCode="_-[$$-440A]* #,##0.00_-;\-[$$-440A]* #,##0.00_-;_-[$$-440A]* &quot;-&quot;??_-;_-@_-">
                  <c:v>457758.03999999899</c:v>
                </c:pt>
                <c:pt idx="68" formatCode="_-[$$-440A]* #,##0.00_-;\-[$$-440A]* #,##0.00_-;_-[$$-440A]* &quot;-&quot;??_-;_-@_-">
                  <c:v>621949.76</c:v>
                </c:pt>
                <c:pt idx="69" formatCode="_-[$$-440A]* #,##0.00_-;\-[$$-440A]* #,##0.00_-;_-[$$-440A]* &quot;-&quot;??_-;_-@_-">
                  <c:v>38768.86</c:v>
                </c:pt>
                <c:pt idx="70" formatCode="_-[$$-440A]* #,##0.00_-;\-[$$-440A]* #,##0.00_-;_-[$$-440A]* &quot;-&quot;??_-;_-@_-">
                  <c:v>1656996.84</c:v>
                </c:pt>
                <c:pt idx="71" formatCode="_-[$$-440A]* #,##0.00_-;\-[$$-440A]* #,##0.00_-;_-[$$-440A]* &quot;-&quot;??_-;_-@_-">
                  <c:v>1788036.0249999999</c:v>
                </c:pt>
                <c:pt idx="72" formatCode="_-[$$-440A]* #,##0.00_-;\-[$$-440A]* #,##0.00_-;_-[$$-440A]* &quot;-&quot;??_-;_-@_-">
                  <c:v>2032154.52999999</c:v>
                </c:pt>
                <c:pt idx="73" formatCode="_-[$$-440A]* #,##0.00_-;\-[$$-440A]* #,##0.00_-;_-[$$-440A]* &quot;-&quot;??_-;_-@_-">
                  <c:v>2156422.79</c:v>
                </c:pt>
                <c:pt idx="74" formatCode="_-[$$-440A]* #,##0.00_-;\-[$$-440A]* #,##0.00_-;_-[$$-440A]* &quot;-&quot;??_-;_-@_-">
                  <c:v>1684042.7049999901</c:v>
                </c:pt>
                <c:pt idx="75" formatCode="_-[$$-440A]* #,##0.00_-;\-[$$-440A]* #,##0.00_-;_-[$$-440A]* &quot;-&quot;??_-;_-@_-">
                  <c:v>3697584.86</c:v>
                </c:pt>
                <c:pt idx="76" formatCode="_-[$$-440A]* #,##0.00_-;\-[$$-440A]* #,##0.00_-;_-[$$-440A]* &quot;-&quot;??_-;_-@_-">
                  <c:v>16893702.259999968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D-6245-BB0C-BA622B5B7225}"/>
            </c:ext>
          </c:extLst>
        </c:ser>
        <c:ser>
          <c:idx val="2"/>
          <c:order val="2"/>
          <c:tx>
            <c:strRef>
              <c:f>Gráfico!$E$1:$E$3</c:f>
              <c:strCache>
                <c:ptCount val="3"/>
                <c:pt idx="0">
                  <c:v>Ventas por mes </c:v>
                </c:pt>
                <c:pt idx="2">
                  <c:v>Ganancias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Gráfico!$A$4:$B$91</c15:sqref>
                  </c15:fullRef>
                  <c15:levelRef>
                    <c15:sqref>Gráfico!$B$4:$B$91</c15:sqref>
                  </c15:levelRef>
                </c:ext>
              </c:extLst>
              <c:f>Gráfico!$B$4:$B$91</c:f>
              <c:strCache>
                <c:ptCount val="87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  <c:pt idx="13">
                  <c:v>Octubre</c:v>
                </c:pt>
                <c:pt idx="14">
                  <c:v>Noviembre</c:v>
                </c:pt>
                <c:pt idx="15">
                  <c:v>Diciembre</c:v>
                </c:pt>
                <c:pt idx="20">
                  <c:v>Pais</c:v>
                </c:pt>
                <c:pt idx="21">
                  <c:v>Canada</c:v>
                </c:pt>
                <c:pt idx="22">
                  <c:v>France</c:v>
                </c:pt>
                <c:pt idx="23">
                  <c:v>Germany</c:v>
                </c:pt>
                <c:pt idx="24">
                  <c:v>Mexico</c:v>
                </c:pt>
                <c:pt idx="25">
                  <c:v>TOTAL</c:v>
                </c:pt>
                <c:pt idx="26">
                  <c:v>United States of America</c:v>
                </c:pt>
                <c:pt idx="27">
                  <c:v>Canada</c:v>
                </c:pt>
                <c:pt idx="28">
                  <c:v>France</c:v>
                </c:pt>
                <c:pt idx="29">
                  <c:v>Germany</c:v>
                </c:pt>
                <c:pt idx="30">
                  <c:v>Mexico</c:v>
                </c:pt>
                <c:pt idx="31">
                  <c:v>TOTAL</c:v>
                </c:pt>
                <c:pt idx="32">
                  <c:v>United States of America</c:v>
                </c:pt>
                <c:pt idx="33">
                  <c:v>Canada</c:v>
                </c:pt>
                <c:pt idx="34">
                  <c:v>France</c:v>
                </c:pt>
                <c:pt idx="35">
                  <c:v>Germany</c:v>
                </c:pt>
                <c:pt idx="36">
                  <c:v>Mexico</c:v>
                </c:pt>
                <c:pt idx="37">
                  <c:v>TOTAL</c:v>
                </c:pt>
                <c:pt idx="38">
                  <c:v>United States of America</c:v>
                </c:pt>
                <c:pt idx="39">
                  <c:v>Canada</c:v>
                </c:pt>
                <c:pt idx="40">
                  <c:v>France</c:v>
                </c:pt>
                <c:pt idx="41">
                  <c:v>Germany</c:v>
                </c:pt>
                <c:pt idx="42">
                  <c:v>Mexico</c:v>
                </c:pt>
                <c:pt idx="43">
                  <c:v>TOTAL</c:v>
                </c:pt>
                <c:pt idx="44">
                  <c:v>United States of America</c:v>
                </c:pt>
                <c:pt idx="45">
                  <c:v>Canada</c:v>
                </c:pt>
                <c:pt idx="46">
                  <c:v>France</c:v>
                </c:pt>
                <c:pt idx="47">
                  <c:v>Germany</c:v>
                </c:pt>
                <c:pt idx="48">
                  <c:v>Mexico</c:v>
                </c:pt>
                <c:pt idx="49">
                  <c:v>TOTAL</c:v>
                </c:pt>
                <c:pt idx="50">
                  <c:v>United States of America</c:v>
                </c:pt>
                <c:pt idx="55">
                  <c:v>Cantidad de transacciones</c:v>
                </c:pt>
                <c:pt idx="56">
                  <c:v>492</c:v>
                </c:pt>
                <c:pt idx="57">
                  <c:v>53</c:v>
                </c:pt>
                <c:pt idx="58">
                  <c:v>155</c:v>
                </c:pt>
                <c:pt idx="59">
                  <c:v>Totales</c:v>
                </c:pt>
                <c:pt idx="63">
                  <c:v>Año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2014</c:v>
                </c:pt>
                <c:pt idx="71">
                  <c:v>2014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80">
                  <c:v>Ganancias</c:v>
                </c:pt>
                <c:pt idx="81">
                  <c:v> $4,797,437.95 </c:v>
                </c:pt>
                <c:pt idx="82">
                  <c:v> $3,034,608.02 </c:v>
                </c:pt>
                <c:pt idx="83">
                  <c:v> $2,814,104.06 </c:v>
                </c:pt>
                <c:pt idx="84">
                  <c:v> $2,305,992.47 </c:v>
                </c:pt>
                <c:pt idx="85">
                  <c:v> $2,114,754.88 </c:v>
                </c:pt>
                <c:pt idx="86">
                  <c:v> $15,066,897.38 </c:v>
                </c:pt>
              </c:strCache>
            </c:strRef>
          </c:cat>
          <c:val>
            <c:numRef>
              <c:f>Gráfico!$E$4:$E$91</c:f>
              <c:numCache>
                <c:formatCode>_-[$$-440A]* #,##0.00_-;\-[$$-440A]* #,##0.00_-;_-[$$-440A]* "-"??_-;_-@_-</c:formatCode>
                <c:ptCount val="88"/>
                <c:pt idx="0">
                  <c:v>763603.03</c:v>
                </c:pt>
                <c:pt idx="1">
                  <c:v>1657795.0999999901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814028.679999999</c:v>
                </c:pt>
                <c:pt idx="5">
                  <c:v>1148547.3899999999</c:v>
                </c:pt>
                <c:pt idx="6">
                  <c:v>669866.87</c:v>
                </c:pt>
                <c:pt idx="7">
                  <c:v>929984.56999999902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923865.679999999</c:v>
                </c:pt>
                <c:pt idx="11">
                  <c:v>791066.41999999899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604600.19999999995</c:v>
                </c:pt>
                <c:pt idx="15">
                  <c:v>2025765.9</c:v>
                </c:pt>
                <c:pt idx="16">
                  <c:v>16893702.259999987</c:v>
                </c:pt>
                <c:pt idx="63" formatCode="General">
                  <c:v>0</c:v>
                </c:pt>
                <c:pt idx="64" formatCode="0%">
                  <c:v>0.22220000000000001</c:v>
                </c:pt>
                <c:pt idx="65" formatCode="0%">
                  <c:v>0.186</c:v>
                </c:pt>
                <c:pt idx="66" formatCode="0%">
                  <c:v>0.16259999999999999</c:v>
                </c:pt>
                <c:pt idx="67" formatCode="0%">
                  <c:v>0.11509999999999999</c:v>
                </c:pt>
                <c:pt idx="68" formatCode="0%">
                  <c:v>0.1004</c:v>
                </c:pt>
                <c:pt idx="69" formatCode="0%">
                  <c:v>2.76E-2</c:v>
                </c:pt>
                <c:pt idx="70" formatCode="0%">
                  <c:v>0.1452</c:v>
                </c:pt>
                <c:pt idx="71" formatCode="0%">
                  <c:v>0.14410000000000001</c:v>
                </c:pt>
                <c:pt idx="72" formatCode="0%">
                  <c:v>0.14280000000000001</c:v>
                </c:pt>
                <c:pt idx="73" formatCode="0%">
                  <c:v>0.14269999999999999</c:v>
                </c:pt>
                <c:pt idx="74" formatCode="0%">
                  <c:v>0.13969999999999999</c:v>
                </c:pt>
                <c:pt idx="75" formatCode="0%">
                  <c:v>0.13650000000000001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D-6245-BB0C-BA622B5B7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255104"/>
        <c:axId val="1616295936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Gráfico!$F$1:$F$3</c15:sqref>
                        </c15:formulaRef>
                      </c:ext>
                    </c:extLst>
                    <c:strCache>
                      <c:ptCount val="3"/>
                      <c:pt idx="0">
                        <c:v>Ventas por mes </c:v>
                      </c:pt>
                      <c:pt idx="2">
                        <c:v>Ganancias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Gráfico!$A$4:$B$91</c15:sqref>
                        </c15:fullRef>
                        <c15:levelRef>
                          <c15:sqref>Gráfico!$B$4:$B$91</c15:sqref>
                        </c15:levelRef>
                        <c15:formulaRef>
                          <c15:sqref>Gráfico!$B$4:$B$91</c15:sqref>
                        </c15:formulaRef>
                      </c:ext>
                    </c:extLst>
                    <c:strCache>
                      <c:ptCount val="87"/>
                      <c:pt idx="0">
                        <c:v>Septiembre</c:v>
                      </c:pt>
                      <c:pt idx="1">
                        <c:v>Octubre</c:v>
                      </c:pt>
                      <c:pt idx="2">
                        <c:v>Noviembre</c:v>
                      </c:pt>
                      <c:pt idx="3">
                        <c:v>Diciembre</c:v>
                      </c:pt>
                      <c:pt idx="4">
                        <c:v>Enero</c:v>
                      </c:pt>
                      <c:pt idx="5">
                        <c:v>Febrero</c:v>
                      </c:pt>
                      <c:pt idx="6">
                        <c:v>Marzo</c:v>
                      </c:pt>
                      <c:pt idx="7">
                        <c:v>Abril</c:v>
                      </c:pt>
                      <c:pt idx="8">
                        <c:v>Mayo</c:v>
                      </c:pt>
                      <c:pt idx="9">
                        <c:v>Junio</c:v>
                      </c:pt>
                      <c:pt idx="10">
                        <c:v>Julio</c:v>
                      </c:pt>
                      <c:pt idx="11">
                        <c:v>Agosto</c:v>
                      </c:pt>
                      <c:pt idx="12">
                        <c:v>Septiembre</c:v>
                      </c:pt>
                      <c:pt idx="13">
                        <c:v>Octubre</c:v>
                      </c:pt>
                      <c:pt idx="14">
                        <c:v>Noviembre</c:v>
                      </c:pt>
                      <c:pt idx="15">
                        <c:v>Diciembre</c:v>
                      </c:pt>
                      <c:pt idx="20">
                        <c:v>Pais</c:v>
                      </c:pt>
                      <c:pt idx="21">
                        <c:v>Canada</c:v>
                      </c:pt>
                      <c:pt idx="22">
                        <c:v>France</c:v>
                      </c:pt>
                      <c:pt idx="23">
                        <c:v>Germany</c:v>
                      </c:pt>
                      <c:pt idx="24">
                        <c:v>Mexico</c:v>
                      </c:pt>
                      <c:pt idx="25">
                        <c:v>TOTAL</c:v>
                      </c:pt>
                      <c:pt idx="26">
                        <c:v>United States of America</c:v>
                      </c:pt>
                      <c:pt idx="27">
                        <c:v>Canada</c:v>
                      </c:pt>
                      <c:pt idx="28">
                        <c:v>France</c:v>
                      </c:pt>
                      <c:pt idx="29">
                        <c:v>Germany</c:v>
                      </c:pt>
                      <c:pt idx="30">
                        <c:v>Mexico</c:v>
                      </c:pt>
                      <c:pt idx="31">
                        <c:v>TOTAL</c:v>
                      </c:pt>
                      <c:pt idx="32">
                        <c:v>United States of America</c:v>
                      </c:pt>
                      <c:pt idx="33">
                        <c:v>Canada</c:v>
                      </c:pt>
                      <c:pt idx="34">
                        <c:v>France</c:v>
                      </c:pt>
                      <c:pt idx="35">
                        <c:v>Germany</c:v>
                      </c:pt>
                      <c:pt idx="36">
                        <c:v>Mexico</c:v>
                      </c:pt>
                      <c:pt idx="37">
                        <c:v>TOTAL</c:v>
                      </c:pt>
                      <c:pt idx="38">
                        <c:v>United States of America</c:v>
                      </c:pt>
                      <c:pt idx="39">
                        <c:v>Canada</c:v>
                      </c:pt>
                      <c:pt idx="40">
                        <c:v>France</c:v>
                      </c:pt>
                      <c:pt idx="41">
                        <c:v>Germany</c:v>
                      </c:pt>
                      <c:pt idx="42">
                        <c:v>Mexico</c:v>
                      </c:pt>
                      <c:pt idx="43">
                        <c:v>TOTAL</c:v>
                      </c:pt>
                      <c:pt idx="44">
                        <c:v>United States of America</c:v>
                      </c:pt>
                      <c:pt idx="45">
                        <c:v>Canada</c:v>
                      </c:pt>
                      <c:pt idx="46">
                        <c:v>France</c:v>
                      </c:pt>
                      <c:pt idx="47">
                        <c:v>Germany</c:v>
                      </c:pt>
                      <c:pt idx="48">
                        <c:v>Mexico</c:v>
                      </c:pt>
                      <c:pt idx="49">
                        <c:v>TOTAL</c:v>
                      </c:pt>
                      <c:pt idx="50">
                        <c:v>United States of America</c:v>
                      </c:pt>
                      <c:pt idx="55">
                        <c:v>Cantidad de transacciones</c:v>
                      </c:pt>
                      <c:pt idx="56">
                        <c:v>492</c:v>
                      </c:pt>
                      <c:pt idx="57">
                        <c:v>53</c:v>
                      </c:pt>
                      <c:pt idx="58">
                        <c:v>155</c:v>
                      </c:pt>
                      <c:pt idx="59">
                        <c:v>Totales</c:v>
                      </c:pt>
                      <c:pt idx="63">
                        <c:v>Año</c:v>
                      </c:pt>
                      <c:pt idx="64">
                        <c:v>2013</c:v>
                      </c:pt>
                      <c:pt idx="65">
                        <c:v>2013</c:v>
                      </c:pt>
                      <c:pt idx="66">
                        <c:v>2013</c:v>
                      </c:pt>
                      <c:pt idx="67">
                        <c:v>2013</c:v>
                      </c:pt>
                      <c:pt idx="68">
                        <c:v>2013</c:v>
                      </c:pt>
                      <c:pt idx="69">
                        <c:v>2013</c:v>
                      </c:pt>
                      <c:pt idx="70">
                        <c:v>2014</c:v>
                      </c:pt>
                      <c:pt idx="71">
                        <c:v>2014</c:v>
                      </c:pt>
                      <c:pt idx="72">
                        <c:v>2014</c:v>
                      </c:pt>
                      <c:pt idx="73">
                        <c:v>2014</c:v>
                      </c:pt>
                      <c:pt idx="74">
                        <c:v>2014</c:v>
                      </c:pt>
                      <c:pt idx="75">
                        <c:v>2014</c:v>
                      </c:pt>
                      <c:pt idx="80">
                        <c:v>Ganancias</c:v>
                      </c:pt>
                      <c:pt idx="81">
                        <c:v> $4,797,437.95 </c:v>
                      </c:pt>
                      <c:pt idx="82">
                        <c:v> $3,034,608.02 </c:v>
                      </c:pt>
                      <c:pt idx="83">
                        <c:v> $2,814,104.06 </c:v>
                      </c:pt>
                      <c:pt idx="84">
                        <c:v> $2,305,992.47 </c:v>
                      </c:pt>
                      <c:pt idx="85">
                        <c:v> $2,114,754.88 </c:v>
                      </c:pt>
                      <c:pt idx="86">
                        <c:v> $15,066,897.38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Gráfico!$F$4:$F$91</c15:sqref>
                        </c15:formulaRef>
                      </c:ext>
                    </c:extLst>
                    <c:numCache>
                      <c:formatCode>General</c:formatCode>
                      <c:ptCount val="8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68D-6245-BB0C-BA622B5B7225}"/>
                  </c:ext>
                </c:extLst>
              </c15:ser>
            </c15:filteredBarSeries>
          </c:ext>
        </c:extLst>
      </c:barChart>
      <c:catAx>
        <c:axId val="166225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616295936"/>
        <c:crosses val="autoZero"/>
        <c:auto val="1"/>
        <c:lblAlgn val="ctr"/>
        <c:lblOffset val="100"/>
        <c:noMultiLvlLbl val="0"/>
      </c:catAx>
      <c:valAx>
        <c:axId val="161629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40A]* #,##0.00_-;\-[$$-440A]* #,##0.00_-;_-[$$-44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001"/>
          </a:p>
        </c:txPr>
        <c:crossAx val="166225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001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es-001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_xlchart.v1.3</cx:f>
      </cx:numDim>
    </cx:data>
    <cx:data id="1">
      <cx:strDim type="cat">
        <cx:f>_xlchart.v1.1</cx:f>
      </cx:strDim>
      <cx:numDim type="val">
        <cx:f>_xlchart.v1.5</cx:f>
      </cx:numDim>
    </cx:data>
  </cx:chartData>
  <cx:chart>
    <cx:title pos="t" align="ctr" overlay="0">
      <cx:tx>
        <cx:txData>
          <cx:v>Ventas por segmento y país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Ventas por segmento y país</a:t>
          </a:r>
        </a:p>
      </cx:txPr>
    </cx:title>
    <cx:plotArea>
      <cx:plotAreaRegion>
        <cx:series layoutId="clusteredColumn" uniqueId="{552A6631-49DC-0546-BDB7-97E8FBD4BF72}" formatIdx="0">
          <cx:tx>
            <cx:txData>
              <cx:f>_xlchart.v1.2</cx:f>
              <cx:v>Ventas totales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219DA1E-AEAC-534C-A75E-B8EA54E6239C}" formatIdx="1">
          <cx:axisId val="2"/>
        </cx:series>
        <cx:series layoutId="clusteredColumn" hidden="1" uniqueId="{D2D2F3E1-A596-724A-847D-AC3B9D2D10E9}" formatIdx="2">
          <cx:tx>
            <cx:txData>
              <cx:f>_xlchart.v1.4</cx:f>
              <cx:v>Ganancia</cx:v>
            </cx:txData>
          </cx:tx>
          <cx:dataId val="1"/>
          <cx:layoutPr>
            <cx:aggregation/>
          </cx:layoutPr>
          <cx:axisId val="1"/>
        </cx:series>
        <cx:series layoutId="paretoLine" ownerIdx="2" uniqueId="{9D03089F-68E2-B942-BC86-3131A097315D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206521</xdr:colOff>
      <xdr:row>0</xdr:row>
      <xdr:rowOff>170367</xdr:rowOff>
    </xdr:from>
    <xdr:to>
      <xdr:col>12</xdr:col>
      <xdr:colOff>797441</xdr:colOff>
      <xdr:row>20</xdr:row>
      <xdr:rowOff>14768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D747DE-F835-3451-E688-1F2F6C517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162028</xdr:colOff>
      <xdr:row>0</xdr:row>
      <xdr:rowOff>125795</xdr:rowOff>
    </xdr:from>
    <xdr:to>
      <xdr:col>20</xdr:col>
      <xdr:colOff>671494</xdr:colOff>
      <xdr:row>17</xdr:row>
      <xdr:rowOff>145977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B7E16A-CB6C-1115-126A-27F462768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356418</xdr:colOff>
      <xdr:row>21</xdr:row>
      <xdr:rowOff>31544</xdr:rowOff>
    </xdr:from>
    <xdr:to>
      <xdr:col>14</xdr:col>
      <xdr:colOff>787400</xdr:colOff>
      <xdr:row>63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CD2865FF-7F9A-CCB9-EA6F-8B7B31EF8F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9118" y="4374944"/>
              <a:ext cx="9638482" cy="8629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1115786</xdr:colOff>
      <xdr:row>40</xdr:row>
      <xdr:rowOff>158749</xdr:rowOff>
    </xdr:from>
    <xdr:to>
      <xdr:col>23</xdr:col>
      <xdr:colOff>771071</xdr:colOff>
      <xdr:row>63</xdr:row>
      <xdr:rowOff>90713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1DA08F-A344-F12A-BFC8-E1F68315D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736599</xdr:colOff>
      <xdr:row>0</xdr:row>
      <xdr:rowOff>203199</xdr:rowOff>
    </xdr:from>
    <xdr:to>
      <xdr:col>36</xdr:col>
      <xdr:colOff>781537</xdr:colOff>
      <xdr:row>91</xdr:row>
      <xdr:rowOff>97691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6983A3-728B-F655-069D-27AF0969D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D031-3411-C04A-80F7-25DDC203C5F1}">
  <dimension ref="A1:Y71"/>
  <sheetViews>
    <sheetView zoomScale="50" zoomScaleNormal="137" workbookViewId="0">
      <selection activeCell="X11" sqref="V2:X11"/>
    </sheetView>
  </sheetViews>
  <sheetFormatPr baseColWidth="10" defaultRowHeight="16" x14ac:dyDescent="0.2"/>
  <cols>
    <col min="1" max="1" width="20.5" customWidth="1"/>
    <col min="2" max="2" width="22.83203125" customWidth="1"/>
    <col min="3" max="3" width="19.83203125" customWidth="1"/>
    <col min="4" max="4" width="20.33203125" customWidth="1"/>
    <col min="5" max="5" width="18.83203125" customWidth="1"/>
    <col min="14" max="14" width="15.33203125" customWidth="1"/>
    <col min="15" max="15" width="16" customWidth="1"/>
    <col min="16" max="16" width="13" customWidth="1"/>
    <col min="18" max="18" width="18.33203125" customWidth="1"/>
    <col min="19" max="19" width="17.83203125" customWidth="1"/>
    <col min="20" max="20" width="24.33203125" customWidth="1"/>
    <col min="21" max="21" width="21" customWidth="1"/>
    <col min="22" max="22" width="14.5" customWidth="1"/>
    <col min="23" max="23" width="19.33203125" customWidth="1"/>
    <col min="24" max="24" width="12.5" customWidth="1"/>
    <col min="26" max="26" width="15" bestFit="1" customWidth="1"/>
    <col min="27" max="27" width="11" bestFit="1" customWidth="1"/>
  </cols>
  <sheetData>
    <row r="1" spans="1:25" ht="19" x14ac:dyDescent="0.25">
      <c r="A1" s="36" t="s">
        <v>37</v>
      </c>
      <c r="B1" s="37"/>
      <c r="C1" s="37"/>
      <c r="D1" s="37"/>
      <c r="E1" s="38"/>
      <c r="N1" s="19"/>
      <c r="Y1" s="26"/>
    </row>
    <row r="2" spans="1:25" ht="19" x14ac:dyDescent="0.25">
      <c r="N2" s="19"/>
      <c r="V2" s="33" t="s">
        <v>38</v>
      </c>
      <c r="W2" s="34"/>
      <c r="X2" s="35"/>
      <c r="Y2" s="26"/>
    </row>
    <row r="3" spans="1:25" x14ac:dyDescent="0.2">
      <c r="A3" s="6" t="s">
        <v>33</v>
      </c>
      <c r="B3" s="7" t="s">
        <v>32</v>
      </c>
      <c r="C3" s="7" t="s">
        <v>34</v>
      </c>
      <c r="D3" s="7" t="s">
        <v>35</v>
      </c>
      <c r="E3" s="8" t="s">
        <v>36</v>
      </c>
      <c r="N3" s="19"/>
      <c r="Y3" s="26"/>
    </row>
    <row r="4" spans="1:25" x14ac:dyDescent="0.2">
      <c r="A4" s="1">
        <v>2013</v>
      </c>
      <c r="B4" t="s">
        <v>20</v>
      </c>
      <c r="C4" s="15">
        <v>4484000.03</v>
      </c>
      <c r="D4">
        <v>50601</v>
      </c>
      <c r="E4" s="17">
        <v>763603.03</v>
      </c>
      <c r="N4" s="19"/>
      <c r="Y4" s="26"/>
    </row>
    <row r="5" spans="1:25" x14ac:dyDescent="0.2">
      <c r="A5" s="1">
        <v>2013</v>
      </c>
      <c r="B5" t="s">
        <v>21</v>
      </c>
      <c r="C5" s="15">
        <v>9295611.0999999903</v>
      </c>
      <c r="D5">
        <v>95622</v>
      </c>
      <c r="E5" s="17">
        <v>1657795.0999999901</v>
      </c>
      <c r="N5" s="19"/>
      <c r="V5" s="12" t="s">
        <v>39</v>
      </c>
      <c r="W5" s="13" t="s">
        <v>36</v>
      </c>
      <c r="X5" s="14" t="s">
        <v>35</v>
      </c>
      <c r="Y5" s="26"/>
    </row>
    <row r="6" spans="1:25" x14ac:dyDescent="0.2">
      <c r="A6" s="1">
        <v>2013</v>
      </c>
      <c r="B6" t="s">
        <v>22</v>
      </c>
      <c r="C6" s="15">
        <v>7267203.2999999998</v>
      </c>
      <c r="D6">
        <v>65481</v>
      </c>
      <c r="E6" s="17">
        <v>765502.3</v>
      </c>
      <c r="N6" s="19"/>
      <c r="V6" s="1" t="s">
        <v>0</v>
      </c>
      <c r="W6" s="15">
        <v>4797437.9499999899</v>
      </c>
      <c r="X6" s="2">
        <v>338239.5</v>
      </c>
      <c r="Y6" s="26"/>
    </row>
    <row r="7" spans="1:25" x14ac:dyDescent="0.2">
      <c r="A7" s="1">
        <v>2013</v>
      </c>
      <c r="B7" t="s">
        <v>23</v>
      </c>
      <c r="C7" s="15">
        <v>5368441.08</v>
      </c>
      <c r="D7">
        <v>52970</v>
      </c>
      <c r="E7" s="17">
        <v>691564.08</v>
      </c>
      <c r="N7" s="19"/>
      <c r="V7" s="1" t="s">
        <v>1</v>
      </c>
      <c r="W7" s="15">
        <v>3034608.02</v>
      </c>
      <c r="X7" s="2">
        <v>168783</v>
      </c>
      <c r="Y7" s="26"/>
    </row>
    <row r="8" spans="1:25" x14ac:dyDescent="0.2">
      <c r="A8" s="1">
        <v>2014</v>
      </c>
      <c r="B8" t="s">
        <v>24</v>
      </c>
      <c r="C8" s="15">
        <v>6607761.6799999997</v>
      </c>
      <c r="D8">
        <v>67835.5</v>
      </c>
      <c r="E8" s="17">
        <v>814028.679999999</v>
      </c>
      <c r="N8" s="19"/>
      <c r="V8" s="1" t="s">
        <v>2</v>
      </c>
      <c r="W8" s="15">
        <v>2814104.06</v>
      </c>
      <c r="X8" s="2">
        <v>155315</v>
      </c>
      <c r="Y8" s="26"/>
    </row>
    <row r="9" spans="1:25" x14ac:dyDescent="0.2">
      <c r="A9" s="1">
        <v>2014</v>
      </c>
      <c r="B9" t="s">
        <v>25</v>
      </c>
      <c r="C9" s="15">
        <v>7297531.3899999997</v>
      </c>
      <c r="D9">
        <v>55115</v>
      </c>
      <c r="E9" s="17">
        <v>1148547.3899999999</v>
      </c>
      <c r="N9" s="19"/>
      <c r="V9" s="1" t="s">
        <v>3</v>
      </c>
      <c r="W9" s="15">
        <v>2305992.4649999999</v>
      </c>
      <c r="X9" s="2">
        <v>162424.5</v>
      </c>
      <c r="Y9" s="26"/>
    </row>
    <row r="10" spans="1:25" x14ac:dyDescent="0.2">
      <c r="A10" s="1">
        <v>2014</v>
      </c>
      <c r="B10" t="s">
        <v>26</v>
      </c>
      <c r="C10" s="15">
        <v>5586859.8699999899</v>
      </c>
      <c r="D10">
        <v>53420</v>
      </c>
      <c r="E10" s="17">
        <v>669866.87</v>
      </c>
      <c r="N10" s="19"/>
      <c r="V10" s="3" t="s">
        <v>4</v>
      </c>
      <c r="W10" s="16">
        <v>2114754.88</v>
      </c>
      <c r="X10" s="5">
        <v>154198</v>
      </c>
      <c r="Y10" s="26"/>
    </row>
    <row r="11" spans="1:25" x14ac:dyDescent="0.2">
      <c r="A11" s="1">
        <v>2014</v>
      </c>
      <c r="B11" t="s">
        <v>27</v>
      </c>
      <c r="C11" s="15">
        <v>6964775.0700000003</v>
      </c>
      <c r="D11">
        <v>78886.5</v>
      </c>
      <c r="E11" s="17">
        <v>929984.56999999902</v>
      </c>
      <c r="N11" s="19"/>
      <c r="V11" s="12" t="s">
        <v>40</v>
      </c>
      <c r="W11" s="21">
        <f t="shared" ref="W11:X11" si="0">SUM(W6:W10)</f>
        <v>15066897.374999989</v>
      </c>
      <c r="X11" s="13">
        <f t="shared" si="0"/>
        <v>978960</v>
      </c>
      <c r="Y11" s="26"/>
    </row>
    <row r="12" spans="1:25" x14ac:dyDescent="0.2">
      <c r="A12" s="1">
        <v>2014</v>
      </c>
      <c r="B12" t="s">
        <v>28</v>
      </c>
      <c r="C12" s="15">
        <v>6210211.0599999996</v>
      </c>
      <c r="D12">
        <v>51771</v>
      </c>
      <c r="E12" s="17">
        <v>828640.06</v>
      </c>
      <c r="N12" s="19"/>
      <c r="Y12" s="26"/>
    </row>
    <row r="13" spans="1:25" x14ac:dyDescent="0.2">
      <c r="A13" s="1">
        <v>2014</v>
      </c>
      <c r="B13" t="s">
        <v>29</v>
      </c>
      <c r="C13" s="15">
        <v>9518893.8199999891</v>
      </c>
      <c r="D13">
        <v>103302</v>
      </c>
      <c r="E13" s="17">
        <v>1473753.82</v>
      </c>
      <c r="N13" s="19"/>
      <c r="Y13" s="26"/>
    </row>
    <row r="14" spans="1:25" x14ac:dyDescent="0.2">
      <c r="A14" s="1">
        <v>2014</v>
      </c>
      <c r="B14" t="s">
        <v>30</v>
      </c>
      <c r="C14" s="15">
        <v>8102920.1799999997</v>
      </c>
      <c r="D14">
        <v>69349</v>
      </c>
      <c r="E14" s="17">
        <v>923865.679999999</v>
      </c>
      <c r="N14" s="19"/>
      <c r="Y14" s="26"/>
    </row>
    <row r="15" spans="1:25" x14ac:dyDescent="0.2">
      <c r="A15" s="1">
        <v>2014</v>
      </c>
      <c r="B15" t="s">
        <v>31</v>
      </c>
      <c r="C15" s="15">
        <v>5864622.4199999999</v>
      </c>
      <c r="D15">
        <v>60705</v>
      </c>
      <c r="E15" s="17">
        <v>791066.41999999899</v>
      </c>
      <c r="N15" s="19"/>
      <c r="Y15" s="26"/>
    </row>
    <row r="16" spans="1:25" x14ac:dyDescent="0.2">
      <c r="A16" s="1">
        <v>2014</v>
      </c>
      <c r="B16" t="s">
        <v>20</v>
      </c>
      <c r="C16" s="15">
        <v>6398697.2400000002</v>
      </c>
      <c r="D16">
        <v>57280</v>
      </c>
      <c r="E16" s="17">
        <v>1023132.24</v>
      </c>
      <c r="N16" s="19"/>
      <c r="Y16" s="26"/>
    </row>
    <row r="17" spans="1:25" x14ac:dyDescent="0.2">
      <c r="A17" s="1">
        <v>2014</v>
      </c>
      <c r="B17" t="s">
        <v>21</v>
      </c>
      <c r="C17" s="15">
        <v>12375819.919999899</v>
      </c>
      <c r="D17">
        <v>105482</v>
      </c>
      <c r="E17" s="17">
        <v>1781985.92</v>
      </c>
      <c r="N17" s="19"/>
      <c r="Y17" s="26"/>
    </row>
    <row r="18" spans="1:25" x14ac:dyDescent="0.2">
      <c r="A18" s="1">
        <v>2014</v>
      </c>
      <c r="B18" t="s">
        <v>22</v>
      </c>
      <c r="C18" s="15">
        <v>5384214.2000000002</v>
      </c>
      <c r="D18">
        <v>55650</v>
      </c>
      <c r="E18" s="17">
        <v>604600.19999999995</v>
      </c>
      <c r="N18" s="19"/>
      <c r="Y18" s="26"/>
    </row>
    <row r="19" spans="1:25" x14ac:dyDescent="0.2">
      <c r="A19" s="3">
        <v>2014</v>
      </c>
      <c r="B19" s="4" t="s">
        <v>23</v>
      </c>
      <c r="C19" s="16">
        <v>11998787.9</v>
      </c>
      <c r="D19" s="4">
        <v>102336</v>
      </c>
      <c r="E19" s="18">
        <v>2025765.9</v>
      </c>
      <c r="N19" s="19"/>
      <c r="Y19" s="26"/>
    </row>
    <row r="20" spans="1:25" x14ac:dyDescent="0.2">
      <c r="A20" s="39" t="s">
        <v>40</v>
      </c>
      <c r="B20" s="39"/>
      <c r="C20" s="20">
        <f>SUM(C4:C19)</f>
        <v>118726350.25999989</v>
      </c>
      <c r="D20" s="10">
        <f>SUM(D4:D19)</f>
        <v>1125806</v>
      </c>
      <c r="E20" s="20">
        <f>SUM(E4:E19)</f>
        <v>16893702.259999987</v>
      </c>
      <c r="Y20" s="26"/>
    </row>
    <row r="21" spans="1:25" x14ac:dyDescent="0.2">
      <c r="Y21" s="26"/>
    </row>
    <row r="22" spans="1:25" ht="19" x14ac:dyDescent="0.25">
      <c r="A22" s="33" t="s">
        <v>41</v>
      </c>
      <c r="B22" s="34"/>
      <c r="C22" s="34"/>
      <c r="D22" s="35"/>
      <c r="Y22" s="26"/>
    </row>
    <row r="23" spans="1:25" x14ac:dyDescent="0.2">
      <c r="Y23" s="26"/>
    </row>
    <row r="24" spans="1:25" ht="19" x14ac:dyDescent="0.25">
      <c r="P24" s="41" t="s">
        <v>46</v>
      </c>
      <c r="Q24" s="40"/>
      <c r="R24" s="40"/>
      <c r="S24" s="40"/>
      <c r="T24" s="40"/>
      <c r="U24" s="40"/>
      <c r="V24" s="40"/>
      <c r="W24" s="40"/>
      <c r="X24" s="40"/>
      <c r="Y24" s="26"/>
    </row>
    <row r="25" spans="1:25" x14ac:dyDescent="0.2">
      <c r="A25" s="12" t="s">
        <v>43</v>
      </c>
      <c r="B25" s="13" t="s">
        <v>42</v>
      </c>
      <c r="C25" s="13" t="s">
        <v>44</v>
      </c>
      <c r="D25" s="14" t="s">
        <v>45</v>
      </c>
      <c r="Y25" s="26"/>
    </row>
    <row r="26" spans="1:25" x14ac:dyDescent="0.2">
      <c r="A26" s="1" t="s">
        <v>5</v>
      </c>
      <c r="B26" t="s">
        <v>6</v>
      </c>
      <c r="C26" s="15">
        <v>491164.13999999902</v>
      </c>
      <c r="D26" s="17">
        <v>358978.13999999902</v>
      </c>
      <c r="R26" s="9" t="s">
        <v>39</v>
      </c>
      <c r="S26" s="10" t="s">
        <v>33</v>
      </c>
      <c r="T26" s="10" t="s">
        <v>47</v>
      </c>
      <c r="U26" s="10" t="s">
        <v>36</v>
      </c>
      <c r="V26" s="11" t="s">
        <v>48</v>
      </c>
      <c r="Y26" s="26"/>
    </row>
    <row r="27" spans="1:25" x14ac:dyDescent="0.2">
      <c r="A27" s="1" t="s">
        <v>5</v>
      </c>
      <c r="B27" t="s">
        <v>7</v>
      </c>
      <c r="C27" s="15">
        <v>372090.36</v>
      </c>
      <c r="D27" s="17">
        <v>271581.36</v>
      </c>
      <c r="R27" s="1" t="s">
        <v>2</v>
      </c>
      <c r="S27">
        <v>2013</v>
      </c>
      <c r="T27" s="15">
        <v>3519132.53</v>
      </c>
      <c r="U27" s="15">
        <v>781949.53</v>
      </c>
      <c r="V27" s="27">
        <v>0.22220000000000001</v>
      </c>
      <c r="Y27" s="26"/>
    </row>
    <row r="28" spans="1:25" x14ac:dyDescent="0.2">
      <c r="A28" s="1" t="s">
        <v>5</v>
      </c>
      <c r="B28" t="s">
        <v>8</v>
      </c>
      <c r="C28" s="15">
        <v>336425.87999999902</v>
      </c>
      <c r="D28" s="17">
        <v>247358.87999999899</v>
      </c>
      <c r="R28" s="1" t="s">
        <v>0</v>
      </c>
      <c r="S28">
        <v>2013</v>
      </c>
      <c r="T28" s="15">
        <v>5914747.0899999999</v>
      </c>
      <c r="U28" s="15">
        <v>1099853.0899999901</v>
      </c>
      <c r="V28" s="27">
        <v>0.186</v>
      </c>
      <c r="Y28" s="26"/>
    </row>
    <row r="29" spans="1:25" x14ac:dyDescent="0.2">
      <c r="A29" s="1" t="s">
        <v>5</v>
      </c>
      <c r="B29" t="s">
        <v>9</v>
      </c>
      <c r="C29" s="15">
        <v>234379.08</v>
      </c>
      <c r="D29" s="17">
        <v>170890.08</v>
      </c>
      <c r="R29" s="1" t="s">
        <v>1</v>
      </c>
      <c r="S29">
        <v>2013</v>
      </c>
      <c r="T29" s="15">
        <v>5401427.2300000004</v>
      </c>
      <c r="U29" s="15">
        <v>878185.23</v>
      </c>
      <c r="V29" s="27">
        <v>0.16259999999999999</v>
      </c>
      <c r="Y29" s="26"/>
    </row>
    <row r="30" spans="1:25" x14ac:dyDescent="0.2">
      <c r="A30" s="1" t="s">
        <v>5</v>
      </c>
      <c r="B30" t="s">
        <v>10</v>
      </c>
      <c r="C30" s="15">
        <v>1800593.6399999899</v>
      </c>
      <c r="D30" s="17">
        <v>1316803.1399999999</v>
      </c>
      <c r="R30" s="1" t="s">
        <v>4</v>
      </c>
      <c r="S30">
        <v>2013</v>
      </c>
      <c r="T30" s="15">
        <v>3975783.04</v>
      </c>
      <c r="U30" s="15">
        <v>457758.03999999899</v>
      </c>
      <c r="V30" s="27">
        <v>0.11509999999999999</v>
      </c>
      <c r="Y30" s="26"/>
    </row>
    <row r="31" spans="1:25" x14ac:dyDescent="0.2">
      <c r="A31" s="1" t="s">
        <v>5</v>
      </c>
      <c r="B31" t="s">
        <v>11</v>
      </c>
      <c r="C31" s="15">
        <v>366534.179999999</v>
      </c>
      <c r="D31" s="17">
        <v>267994.679999999</v>
      </c>
      <c r="R31" s="1" t="s">
        <v>3</v>
      </c>
      <c r="S31">
        <v>2013</v>
      </c>
      <c r="T31" s="15">
        <v>6197299.7599999998</v>
      </c>
      <c r="U31" s="15">
        <v>621949.76</v>
      </c>
      <c r="V31" s="27">
        <v>0.1004</v>
      </c>
      <c r="Y31" s="26"/>
    </row>
    <row r="32" spans="1:25" x14ac:dyDescent="0.2">
      <c r="A32" s="1" t="s">
        <v>12</v>
      </c>
      <c r="B32" t="s">
        <v>6</v>
      </c>
      <c r="C32" s="15">
        <v>3967491.25</v>
      </c>
      <c r="D32" s="17">
        <v>-121508.75</v>
      </c>
      <c r="R32" s="1" t="s">
        <v>16</v>
      </c>
      <c r="S32">
        <v>2013</v>
      </c>
      <c r="T32" s="15">
        <v>1406865.86</v>
      </c>
      <c r="U32" s="15">
        <v>38768.86</v>
      </c>
      <c r="V32" s="27">
        <v>2.76E-2</v>
      </c>
      <c r="Y32" s="26"/>
    </row>
    <row r="33" spans="1:25" x14ac:dyDescent="0.2">
      <c r="A33" s="1" t="s">
        <v>12</v>
      </c>
      <c r="B33" t="s">
        <v>7</v>
      </c>
      <c r="C33" s="15">
        <v>3890890.625</v>
      </c>
      <c r="D33" s="17">
        <v>-95749.375</v>
      </c>
      <c r="R33" s="1" t="s">
        <v>4</v>
      </c>
      <c r="S33">
        <v>2014</v>
      </c>
      <c r="T33" s="15">
        <v>11415018.839999899</v>
      </c>
      <c r="U33" s="15">
        <v>1656996.84</v>
      </c>
      <c r="V33" s="27">
        <v>0.1452</v>
      </c>
      <c r="Y33" s="26"/>
    </row>
    <row r="34" spans="1:25" x14ac:dyDescent="0.2">
      <c r="A34" s="1" t="s">
        <v>12</v>
      </c>
      <c r="B34" t="s">
        <v>8</v>
      </c>
      <c r="C34" s="15">
        <v>4086826.25</v>
      </c>
      <c r="D34" s="17">
        <v>-101473.75</v>
      </c>
      <c r="R34" s="1" t="s">
        <v>16</v>
      </c>
      <c r="S34">
        <v>2014</v>
      </c>
      <c r="T34" s="15">
        <v>12408442.025</v>
      </c>
      <c r="U34" s="15">
        <v>1788036.0249999999</v>
      </c>
      <c r="V34" s="27">
        <v>0.14410000000000001</v>
      </c>
      <c r="Y34" s="26"/>
    </row>
    <row r="35" spans="1:25" x14ac:dyDescent="0.2">
      <c r="A35" s="1" t="s">
        <v>12</v>
      </c>
      <c r="B35" t="s">
        <v>9</v>
      </c>
      <c r="C35" s="15">
        <v>3315881.25</v>
      </c>
      <c r="D35" s="17">
        <v>-120678.75</v>
      </c>
      <c r="R35" s="1" t="s">
        <v>2</v>
      </c>
      <c r="S35">
        <v>2014</v>
      </c>
      <c r="T35" s="15">
        <v>14227983.529999901</v>
      </c>
      <c r="U35" s="15">
        <v>2032154.52999999</v>
      </c>
      <c r="V35" s="27">
        <v>0.14280000000000001</v>
      </c>
      <c r="Y35" s="26"/>
    </row>
    <row r="36" spans="1:25" x14ac:dyDescent="0.2">
      <c r="A36" s="1" t="s">
        <v>12</v>
      </c>
      <c r="B36" t="s">
        <v>10</v>
      </c>
      <c r="C36" s="15">
        <v>19611694.375</v>
      </c>
      <c r="D36" s="17">
        <v>-614545.625</v>
      </c>
      <c r="R36" s="1" t="s">
        <v>1</v>
      </c>
      <c r="S36">
        <v>2014</v>
      </c>
      <c r="T36" s="15">
        <v>15110493.7899999</v>
      </c>
      <c r="U36" s="15">
        <v>2156422.79</v>
      </c>
      <c r="V36" s="27">
        <v>0.14269999999999999</v>
      </c>
      <c r="Y36" s="26"/>
    </row>
    <row r="37" spans="1:25" x14ac:dyDescent="0.2">
      <c r="A37" s="1" t="s">
        <v>12</v>
      </c>
      <c r="B37" t="s">
        <v>11</v>
      </c>
      <c r="C37" s="15">
        <v>4350605</v>
      </c>
      <c r="D37" s="17">
        <v>-175135</v>
      </c>
      <c r="R37" s="1" t="s">
        <v>3</v>
      </c>
      <c r="S37">
        <v>2014</v>
      </c>
      <c r="T37" s="15">
        <v>12052759.705</v>
      </c>
      <c r="U37" s="15">
        <v>1684042.7049999901</v>
      </c>
      <c r="V37" s="27">
        <v>0.13969999999999999</v>
      </c>
      <c r="Y37" s="26"/>
    </row>
    <row r="38" spans="1:25" x14ac:dyDescent="0.2">
      <c r="A38" s="1" t="s">
        <v>13</v>
      </c>
      <c r="B38" t="s">
        <v>6</v>
      </c>
      <c r="C38" s="15">
        <v>10741236.52</v>
      </c>
      <c r="D38" s="17">
        <v>2258471.52</v>
      </c>
      <c r="R38" s="3" t="s">
        <v>0</v>
      </c>
      <c r="S38" s="4">
        <v>2014</v>
      </c>
      <c r="T38" s="16">
        <v>27096396.859999999</v>
      </c>
      <c r="U38" s="16">
        <v>3697584.86</v>
      </c>
      <c r="V38" s="28">
        <v>0.13650000000000001</v>
      </c>
      <c r="Y38" s="26"/>
    </row>
    <row r="39" spans="1:25" x14ac:dyDescent="0.2">
      <c r="A39" s="1" t="s">
        <v>13</v>
      </c>
      <c r="B39" t="s">
        <v>7</v>
      </c>
      <c r="C39" s="15">
        <v>12127782.7199999</v>
      </c>
      <c r="D39" s="17">
        <v>2709915.22</v>
      </c>
      <c r="R39" s="10" t="s">
        <v>40</v>
      </c>
      <c r="S39" s="10"/>
      <c r="T39" s="20">
        <f t="shared" ref="T39:U39" si="1">SUM(T27:T38)</f>
        <v>118726350.25999969</v>
      </c>
      <c r="U39" s="20">
        <f t="shared" si="1"/>
        <v>16893702.259999968</v>
      </c>
      <c r="V39" s="10"/>
      <c r="Y39" s="26"/>
    </row>
    <row r="40" spans="1:25" x14ac:dyDescent="0.2">
      <c r="A40" s="1" t="s">
        <v>13</v>
      </c>
      <c r="B40" t="s">
        <v>8</v>
      </c>
      <c r="C40" s="15">
        <v>11452895.939999901</v>
      </c>
      <c r="D40" s="17">
        <v>2677175.94</v>
      </c>
      <c r="Y40" s="26"/>
    </row>
    <row r="41" spans="1:25" x14ac:dyDescent="0.2">
      <c r="A41" s="1" t="s">
        <v>13</v>
      </c>
      <c r="B41" t="s">
        <v>9</v>
      </c>
      <c r="C41" s="15">
        <v>9791599.3799999896</v>
      </c>
      <c r="D41" s="17">
        <v>2039159.38</v>
      </c>
      <c r="Y41" s="26"/>
    </row>
    <row r="42" spans="1:25" x14ac:dyDescent="0.2">
      <c r="A42" s="1" t="s">
        <v>13</v>
      </c>
      <c r="B42" t="s">
        <v>10</v>
      </c>
      <c r="C42" s="15">
        <v>52504260.670000002</v>
      </c>
      <c r="D42" s="17">
        <v>11388173.169999899</v>
      </c>
      <c r="Y42" s="26"/>
    </row>
    <row r="43" spans="1:25" x14ac:dyDescent="0.2">
      <c r="A43" s="1" t="s">
        <v>13</v>
      </c>
      <c r="B43" t="s">
        <v>11</v>
      </c>
      <c r="C43" s="15">
        <v>8390746.1099999994</v>
      </c>
      <c r="D43" s="17">
        <v>1703451.1099999901</v>
      </c>
      <c r="Y43" s="26"/>
    </row>
    <row r="44" spans="1:25" x14ac:dyDescent="0.2">
      <c r="A44" s="1" t="s">
        <v>14</v>
      </c>
      <c r="B44" t="s">
        <v>6</v>
      </c>
      <c r="C44" s="15">
        <v>510213.97499999998</v>
      </c>
      <c r="D44" s="17">
        <v>132488.97499999899</v>
      </c>
      <c r="Y44" s="26"/>
    </row>
    <row r="45" spans="1:25" x14ac:dyDescent="0.2">
      <c r="A45" s="1" t="s">
        <v>14</v>
      </c>
      <c r="B45" t="s">
        <v>7</v>
      </c>
      <c r="C45" s="15">
        <v>593802.07499999995</v>
      </c>
      <c r="D45" s="17">
        <v>164542.07499999899</v>
      </c>
      <c r="Y45" s="26"/>
    </row>
    <row r="46" spans="1:25" x14ac:dyDescent="0.2">
      <c r="A46" s="1" t="s">
        <v>14</v>
      </c>
      <c r="B46" t="s">
        <v>8</v>
      </c>
      <c r="C46" s="15">
        <v>301344.75</v>
      </c>
      <c r="D46" s="17">
        <v>85354.75</v>
      </c>
      <c r="Y46" s="26"/>
    </row>
    <row r="47" spans="1:25" x14ac:dyDescent="0.2">
      <c r="A47" s="1" t="s">
        <v>14</v>
      </c>
      <c r="B47" t="s">
        <v>9</v>
      </c>
      <c r="C47" s="15">
        <v>511136.4</v>
      </c>
      <c r="D47" s="17">
        <v>150546.4</v>
      </c>
      <c r="Y47" s="26"/>
    </row>
    <row r="48" spans="1:25" x14ac:dyDescent="0.2">
      <c r="A48" s="1" t="s">
        <v>14</v>
      </c>
      <c r="B48" t="s">
        <v>10</v>
      </c>
      <c r="C48" s="15">
        <v>2381883.0750000002</v>
      </c>
      <c r="D48" s="17">
        <v>660103.07499999902</v>
      </c>
      <c r="Y48" s="26"/>
    </row>
    <row r="49" spans="1:25" x14ac:dyDescent="0.2">
      <c r="A49" s="1" t="s">
        <v>14</v>
      </c>
      <c r="B49" t="s">
        <v>11</v>
      </c>
      <c r="C49" s="15">
        <v>465385.87499999901</v>
      </c>
      <c r="D49" s="17">
        <v>127170.875</v>
      </c>
      <c r="Y49" s="26"/>
    </row>
    <row r="50" spans="1:25" x14ac:dyDescent="0.2">
      <c r="A50" s="1" t="s">
        <v>15</v>
      </c>
      <c r="B50" t="s">
        <v>6</v>
      </c>
      <c r="C50" s="15">
        <v>9177549</v>
      </c>
      <c r="D50" s="17">
        <v>900799</v>
      </c>
      <c r="Y50" s="26"/>
    </row>
    <row r="51" spans="1:25" x14ac:dyDescent="0.2">
      <c r="A51" s="1" t="s">
        <v>15</v>
      </c>
      <c r="B51" t="s">
        <v>7</v>
      </c>
      <c r="C51" s="15">
        <v>7369606.5</v>
      </c>
      <c r="D51" s="17">
        <v>730731.5</v>
      </c>
      <c r="Y51" s="26"/>
    </row>
    <row r="52" spans="1:25" x14ac:dyDescent="0.2">
      <c r="A52" s="1" t="s">
        <v>15</v>
      </c>
      <c r="B52" t="s">
        <v>8</v>
      </c>
      <c r="C52" s="15">
        <v>7327848</v>
      </c>
      <c r="D52" s="17">
        <v>771973</v>
      </c>
      <c r="Y52" s="26"/>
    </row>
    <row r="53" spans="1:25" x14ac:dyDescent="0.2">
      <c r="A53" s="1" t="s">
        <v>15</v>
      </c>
      <c r="B53" t="s">
        <v>9</v>
      </c>
      <c r="C53" s="15">
        <v>7096356</v>
      </c>
      <c r="D53" s="17">
        <v>667606</v>
      </c>
      <c r="Y53" s="26"/>
    </row>
    <row r="54" spans="1:25" x14ac:dyDescent="0.2">
      <c r="A54" s="1" t="s">
        <v>15</v>
      </c>
      <c r="B54" t="s">
        <v>10</v>
      </c>
      <c r="C54" s="15">
        <v>42427918.5</v>
      </c>
      <c r="D54" s="17">
        <v>4143168.5</v>
      </c>
      <c r="Y54" s="26"/>
    </row>
    <row r="55" spans="1:25" x14ac:dyDescent="0.2">
      <c r="A55" s="1" t="s">
        <v>15</v>
      </c>
      <c r="B55" t="s">
        <v>11</v>
      </c>
      <c r="C55" s="15">
        <v>11456559</v>
      </c>
      <c r="D55" s="17">
        <v>1072059</v>
      </c>
      <c r="Y55" s="26"/>
    </row>
    <row r="56" spans="1:25" x14ac:dyDescent="0.2">
      <c r="A56" s="22" t="s">
        <v>40</v>
      </c>
      <c r="B56" s="23"/>
      <c r="C56" s="24">
        <v>118726350.25999901</v>
      </c>
      <c r="D56" s="25">
        <v>16893702.260000002</v>
      </c>
      <c r="Y56" s="26"/>
    </row>
    <row r="57" spans="1:25" x14ac:dyDescent="0.2">
      <c r="Y57" s="26"/>
    </row>
    <row r="58" spans="1:25" x14ac:dyDescent="0.2">
      <c r="Y58" s="26"/>
    </row>
    <row r="59" spans="1:25" x14ac:dyDescent="0.2">
      <c r="Y59" s="26"/>
    </row>
    <row r="60" spans="1:25" x14ac:dyDescent="0.2">
      <c r="Y60" s="26"/>
    </row>
    <row r="61" spans="1:25" x14ac:dyDescent="0.2">
      <c r="Y61" s="26"/>
    </row>
    <row r="62" spans="1:25" x14ac:dyDescent="0.2">
      <c r="Y62" s="26"/>
    </row>
    <row r="63" spans="1:25" x14ac:dyDescent="0.2">
      <c r="A63" s="19"/>
      <c r="B63" s="19"/>
      <c r="C63" s="19"/>
      <c r="D63" s="19"/>
      <c r="Y63" s="26"/>
    </row>
    <row r="64" spans="1:25" x14ac:dyDescent="0.2">
      <c r="Y64" s="26"/>
    </row>
    <row r="65" spans="1:4" ht="19" x14ac:dyDescent="0.25">
      <c r="A65" s="40" t="s">
        <v>49</v>
      </c>
      <c r="B65" s="40"/>
      <c r="C65" s="40"/>
      <c r="D65" s="40"/>
    </row>
    <row r="67" spans="1:4" x14ac:dyDescent="0.2">
      <c r="A67" s="29" t="s">
        <v>50</v>
      </c>
      <c r="B67" s="30" t="s">
        <v>51</v>
      </c>
      <c r="C67" s="30" t="s">
        <v>44</v>
      </c>
      <c r="D67" s="31" t="s">
        <v>52</v>
      </c>
    </row>
    <row r="68" spans="1:4" x14ac:dyDescent="0.2">
      <c r="A68" s="1" t="s">
        <v>17</v>
      </c>
      <c r="B68">
        <v>492</v>
      </c>
      <c r="C68" s="15">
        <v>108426708.724999</v>
      </c>
      <c r="D68" s="17">
        <v>18.704817073170702</v>
      </c>
    </row>
    <row r="69" spans="1:4" x14ac:dyDescent="0.2">
      <c r="A69" s="1" t="s">
        <v>18</v>
      </c>
      <c r="B69">
        <v>53</v>
      </c>
      <c r="C69" s="15">
        <v>7943654</v>
      </c>
      <c r="D69" s="17">
        <v>20.698113207547099</v>
      </c>
    </row>
    <row r="70" spans="1:4" x14ac:dyDescent="0.2">
      <c r="A70" s="3" t="s">
        <v>19</v>
      </c>
      <c r="B70" s="4">
        <v>155</v>
      </c>
      <c r="C70" s="16">
        <v>2355987.5350000001</v>
      </c>
      <c r="D70" s="18">
        <v>4.9089677419354798</v>
      </c>
    </row>
    <row r="71" spans="1:4" x14ac:dyDescent="0.2">
      <c r="A71" s="13"/>
      <c r="B71" s="13" t="s">
        <v>40</v>
      </c>
      <c r="C71" s="21">
        <f t="shared" ref="C71:D71" si="2">SUM(C68:C70)</f>
        <v>118726350.25999899</v>
      </c>
      <c r="D71" s="21">
        <f t="shared" si="2"/>
        <v>44.311898022653274</v>
      </c>
    </row>
  </sheetData>
  <autoFilter ref="A25:D56" xr:uid="{02E2D031-3411-C04A-80F7-25DDC203C5F1}"/>
  <mergeCells count="6">
    <mergeCell ref="A65:D65"/>
    <mergeCell ref="A20:B20"/>
    <mergeCell ref="A22:D22"/>
    <mergeCell ref="P24:X24"/>
    <mergeCell ref="A1:E1"/>
    <mergeCell ref="V2:X2"/>
  </mergeCells>
  <phoneticPr fontId="18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FED3-2C58-4947-A1B5-2FC90C697CE0}">
  <dimension ref="A1:I90"/>
  <sheetViews>
    <sheetView tabSelected="1" zoomScale="43" workbookViewId="0">
      <selection activeCell="J102" sqref="J102"/>
    </sheetView>
  </sheetViews>
  <sheetFormatPr baseColWidth="10" defaultRowHeight="16" x14ac:dyDescent="0.2"/>
  <cols>
    <col min="1" max="1" width="20" customWidth="1"/>
    <col min="2" max="2" width="22.1640625" customWidth="1"/>
    <col min="3" max="3" width="26.83203125" customWidth="1"/>
    <col min="4" max="4" width="21.83203125" customWidth="1"/>
    <col min="5" max="5" width="19.83203125" customWidth="1"/>
  </cols>
  <sheetData>
    <row r="1" spans="1:5" ht="19" x14ac:dyDescent="0.25">
      <c r="A1" s="36" t="s">
        <v>37</v>
      </c>
      <c r="B1" s="37"/>
      <c r="C1" s="37"/>
      <c r="D1" s="37"/>
      <c r="E1" s="38"/>
    </row>
    <row r="3" spans="1:5" x14ac:dyDescent="0.2">
      <c r="A3" s="6" t="s">
        <v>33</v>
      </c>
      <c r="B3" s="7" t="s">
        <v>32</v>
      </c>
      <c r="C3" s="7" t="s">
        <v>34</v>
      </c>
      <c r="D3" s="7" t="s">
        <v>35</v>
      </c>
      <c r="E3" s="8" t="s">
        <v>36</v>
      </c>
    </row>
    <row r="4" spans="1:5" x14ac:dyDescent="0.2">
      <c r="A4" s="1">
        <v>2013</v>
      </c>
      <c r="B4" t="s">
        <v>20</v>
      </c>
      <c r="C4" s="15">
        <v>4484000.03</v>
      </c>
      <c r="D4">
        <v>50601</v>
      </c>
      <c r="E4" s="17">
        <v>763603.03</v>
      </c>
    </row>
    <row r="5" spans="1:5" x14ac:dyDescent="0.2">
      <c r="A5" s="1">
        <v>2013</v>
      </c>
      <c r="B5" t="s">
        <v>21</v>
      </c>
      <c r="C5" s="15">
        <v>9295611.0999999903</v>
      </c>
      <c r="D5">
        <v>95622</v>
      </c>
      <c r="E5" s="17">
        <v>1657795.0999999901</v>
      </c>
    </row>
    <row r="6" spans="1:5" x14ac:dyDescent="0.2">
      <c r="A6" s="1">
        <v>2013</v>
      </c>
      <c r="B6" t="s">
        <v>22</v>
      </c>
      <c r="C6" s="15">
        <v>7267203.2999999998</v>
      </c>
      <c r="D6">
        <v>65481</v>
      </c>
      <c r="E6" s="17">
        <v>765502.3</v>
      </c>
    </row>
    <row r="7" spans="1:5" x14ac:dyDescent="0.2">
      <c r="A7" s="1">
        <v>2013</v>
      </c>
      <c r="B7" t="s">
        <v>23</v>
      </c>
      <c r="C7" s="15">
        <v>5368441.08</v>
      </c>
      <c r="D7">
        <v>52970</v>
      </c>
      <c r="E7" s="17">
        <v>691564.08</v>
      </c>
    </row>
    <row r="8" spans="1:5" x14ac:dyDescent="0.2">
      <c r="A8" s="1">
        <v>2014</v>
      </c>
      <c r="B8" t="s">
        <v>24</v>
      </c>
      <c r="C8" s="15">
        <v>6607761.6799999997</v>
      </c>
      <c r="D8">
        <v>67835.5</v>
      </c>
      <c r="E8" s="17">
        <v>814028.679999999</v>
      </c>
    </row>
    <row r="9" spans="1:5" x14ac:dyDescent="0.2">
      <c r="A9" s="1">
        <v>2014</v>
      </c>
      <c r="B9" t="s">
        <v>25</v>
      </c>
      <c r="C9" s="15">
        <v>7297531.3899999997</v>
      </c>
      <c r="D9">
        <v>55115</v>
      </c>
      <c r="E9" s="17">
        <v>1148547.3899999999</v>
      </c>
    </row>
    <row r="10" spans="1:5" x14ac:dyDescent="0.2">
      <c r="A10" s="1">
        <v>2014</v>
      </c>
      <c r="B10" t="s">
        <v>26</v>
      </c>
      <c r="C10" s="15">
        <v>5586859.8699999899</v>
      </c>
      <c r="D10">
        <v>53420</v>
      </c>
      <c r="E10" s="17">
        <v>669866.87</v>
      </c>
    </row>
    <row r="11" spans="1:5" x14ac:dyDescent="0.2">
      <c r="A11" s="1">
        <v>2014</v>
      </c>
      <c r="B11" t="s">
        <v>27</v>
      </c>
      <c r="C11" s="15">
        <v>6964775.0700000003</v>
      </c>
      <c r="D11">
        <v>78886.5</v>
      </c>
      <c r="E11" s="17">
        <v>929984.56999999902</v>
      </c>
    </row>
    <row r="12" spans="1:5" x14ac:dyDescent="0.2">
      <c r="A12" s="1">
        <v>2014</v>
      </c>
      <c r="B12" t="s">
        <v>28</v>
      </c>
      <c r="C12" s="15">
        <v>6210211.0599999996</v>
      </c>
      <c r="D12">
        <v>51771</v>
      </c>
      <c r="E12" s="17">
        <v>828640.06</v>
      </c>
    </row>
    <row r="13" spans="1:5" x14ac:dyDescent="0.2">
      <c r="A13" s="1">
        <v>2014</v>
      </c>
      <c r="B13" t="s">
        <v>29</v>
      </c>
      <c r="C13" s="15">
        <v>9518893.8199999891</v>
      </c>
      <c r="D13">
        <v>103302</v>
      </c>
      <c r="E13" s="17">
        <v>1473753.82</v>
      </c>
    </row>
    <row r="14" spans="1:5" x14ac:dyDescent="0.2">
      <c r="A14" s="1">
        <v>2014</v>
      </c>
      <c r="B14" t="s">
        <v>30</v>
      </c>
      <c r="C14" s="15">
        <v>8102920.1799999997</v>
      </c>
      <c r="D14">
        <v>69349</v>
      </c>
      <c r="E14" s="17">
        <v>923865.679999999</v>
      </c>
    </row>
    <row r="15" spans="1:5" x14ac:dyDescent="0.2">
      <c r="A15" s="1">
        <v>2014</v>
      </c>
      <c r="B15" t="s">
        <v>31</v>
      </c>
      <c r="C15" s="15">
        <v>5864622.4199999999</v>
      </c>
      <c r="D15">
        <v>60705</v>
      </c>
      <c r="E15" s="17">
        <v>791066.41999999899</v>
      </c>
    </row>
    <row r="16" spans="1:5" x14ac:dyDescent="0.2">
      <c r="A16" s="1">
        <v>2014</v>
      </c>
      <c r="B16" t="s">
        <v>20</v>
      </c>
      <c r="C16" s="15">
        <v>6398697.2400000002</v>
      </c>
      <c r="D16">
        <v>57280</v>
      </c>
      <c r="E16" s="17">
        <v>1023132.24</v>
      </c>
    </row>
    <row r="17" spans="1:5" x14ac:dyDescent="0.2">
      <c r="A17" s="1">
        <v>2014</v>
      </c>
      <c r="B17" t="s">
        <v>21</v>
      </c>
      <c r="C17" s="15">
        <v>12375819.919999899</v>
      </c>
      <c r="D17">
        <v>105482</v>
      </c>
      <c r="E17" s="17">
        <v>1781985.92</v>
      </c>
    </row>
    <row r="18" spans="1:5" x14ac:dyDescent="0.2">
      <c r="A18" s="1">
        <v>2014</v>
      </c>
      <c r="B18" t="s">
        <v>22</v>
      </c>
      <c r="C18" s="15">
        <v>5384214.2000000002</v>
      </c>
      <c r="D18">
        <v>55650</v>
      </c>
      <c r="E18" s="17">
        <v>604600.19999999995</v>
      </c>
    </row>
    <row r="19" spans="1:5" x14ac:dyDescent="0.2">
      <c r="A19" s="3">
        <v>2014</v>
      </c>
      <c r="B19" s="4" t="s">
        <v>23</v>
      </c>
      <c r="C19" s="16">
        <v>11998787.9</v>
      </c>
      <c r="D19" s="4">
        <v>102336</v>
      </c>
      <c r="E19" s="18">
        <v>2025765.9</v>
      </c>
    </row>
    <row r="20" spans="1:5" x14ac:dyDescent="0.2">
      <c r="A20" s="39" t="s">
        <v>40</v>
      </c>
      <c r="B20" s="39"/>
      <c r="C20" s="20">
        <f>SUM(C4:C19)</f>
        <v>118726350.25999989</v>
      </c>
      <c r="D20" s="10">
        <f>SUM(D4:D19)</f>
        <v>1125806</v>
      </c>
      <c r="E20" s="20">
        <f>SUM(E4:E19)</f>
        <v>16893702.259999987</v>
      </c>
    </row>
    <row r="22" spans="1:5" ht="19" x14ac:dyDescent="0.25">
      <c r="A22" s="33" t="s">
        <v>41</v>
      </c>
      <c r="B22" s="34"/>
      <c r="C22" s="34"/>
      <c r="D22" s="35"/>
    </row>
    <row r="24" spans="1:5" x14ac:dyDescent="0.2">
      <c r="A24" s="12" t="s">
        <v>43</v>
      </c>
      <c r="B24" s="13" t="s">
        <v>42</v>
      </c>
      <c r="C24" s="13" t="s">
        <v>44</v>
      </c>
      <c r="D24" s="14" t="s">
        <v>45</v>
      </c>
    </row>
    <row r="25" spans="1:5" x14ac:dyDescent="0.2">
      <c r="A25" s="1" t="s">
        <v>5</v>
      </c>
      <c r="B25" t="s">
        <v>6</v>
      </c>
      <c r="C25" s="15">
        <v>491164.13999999902</v>
      </c>
      <c r="D25" s="17">
        <v>358978.13999999902</v>
      </c>
    </row>
    <row r="26" spans="1:5" x14ac:dyDescent="0.2">
      <c r="A26" s="1" t="s">
        <v>5</v>
      </c>
      <c r="B26" t="s">
        <v>7</v>
      </c>
      <c r="C26" s="15">
        <v>372090.36</v>
      </c>
      <c r="D26" s="17">
        <v>271581.36</v>
      </c>
    </row>
    <row r="27" spans="1:5" x14ac:dyDescent="0.2">
      <c r="A27" s="1" t="s">
        <v>5</v>
      </c>
      <c r="B27" t="s">
        <v>8</v>
      </c>
      <c r="C27" s="15">
        <v>336425.87999999902</v>
      </c>
      <c r="D27" s="17">
        <v>247358.87999999899</v>
      </c>
    </row>
    <row r="28" spans="1:5" x14ac:dyDescent="0.2">
      <c r="A28" s="1" t="s">
        <v>5</v>
      </c>
      <c r="B28" t="s">
        <v>9</v>
      </c>
      <c r="C28" s="15">
        <v>234379.08</v>
      </c>
      <c r="D28" s="17">
        <v>170890.08</v>
      </c>
    </row>
    <row r="29" spans="1:5" x14ac:dyDescent="0.2">
      <c r="A29" s="1" t="s">
        <v>5</v>
      </c>
      <c r="B29" t="s">
        <v>10</v>
      </c>
      <c r="C29" s="15">
        <v>1800593.6399999899</v>
      </c>
      <c r="D29" s="17">
        <v>1316803.1399999999</v>
      </c>
    </row>
    <row r="30" spans="1:5" x14ac:dyDescent="0.2">
      <c r="A30" s="1" t="s">
        <v>5</v>
      </c>
      <c r="B30" t="s">
        <v>11</v>
      </c>
      <c r="C30" s="15">
        <v>366534.179999999</v>
      </c>
      <c r="D30" s="17">
        <v>267994.679999999</v>
      </c>
    </row>
    <row r="31" spans="1:5" x14ac:dyDescent="0.2">
      <c r="A31" s="1" t="s">
        <v>12</v>
      </c>
      <c r="B31" t="s">
        <v>6</v>
      </c>
      <c r="C31" s="15">
        <v>3967491.25</v>
      </c>
      <c r="D31" s="17">
        <v>-121508.75</v>
      </c>
    </row>
    <row r="32" spans="1:5" x14ac:dyDescent="0.2">
      <c r="A32" s="1" t="s">
        <v>12</v>
      </c>
      <c r="B32" t="s">
        <v>7</v>
      </c>
      <c r="C32" s="15">
        <v>3890890.625</v>
      </c>
      <c r="D32" s="17">
        <v>-95749.375</v>
      </c>
    </row>
    <row r="33" spans="1:4" x14ac:dyDescent="0.2">
      <c r="A33" s="1" t="s">
        <v>12</v>
      </c>
      <c r="B33" t="s">
        <v>8</v>
      </c>
      <c r="C33" s="15">
        <v>4086826.25</v>
      </c>
      <c r="D33" s="17">
        <v>-101473.75</v>
      </c>
    </row>
    <row r="34" spans="1:4" x14ac:dyDescent="0.2">
      <c r="A34" s="1" t="s">
        <v>12</v>
      </c>
      <c r="B34" t="s">
        <v>9</v>
      </c>
      <c r="C34" s="15">
        <v>3315881.25</v>
      </c>
      <c r="D34" s="17">
        <v>-120678.75</v>
      </c>
    </row>
    <row r="35" spans="1:4" x14ac:dyDescent="0.2">
      <c r="A35" s="1" t="s">
        <v>12</v>
      </c>
      <c r="B35" t="s">
        <v>10</v>
      </c>
      <c r="C35" s="15">
        <v>19611694.375</v>
      </c>
      <c r="D35" s="17">
        <v>-614545.625</v>
      </c>
    </row>
    <row r="36" spans="1:4" x14ac:dyDescent="0.2">
      <c r="A36" s="1" t="s">
        <v>12</v>
      </c>
      <c r="B36" t="s">
        <v>11</v>
      </c>
      <c r="C36" s="15">
        <v>4350605</v>
      </c>
      <c r="D36" s="17">
        <v>-175135</v>
      </c>
    </row>
    <row r="37" spans="1:4" x14ac:dyDescent="0.2">
      <c r="A37" s="1" t="s">
        <v>13</v>
      </c>
      <c r="B37" t="s">
        <v>6</v>
      </c>
      <c r="C37" s="15">
        <v>10741236.52</v>
      </c>
      <c r="D37" s="17">
        <v>2258471.52</v>
      </c>
    </row>
    <row r="38" spans="1:4" x14ac:dyDescent="0.2">
      <c r="A38" s="1" t="s">
        <v>13</v>
      </c>
      <c r="B38" t="s">
        <v>7</v>
      </c>
      <c r="C38" s="15">
        <v>12127782.7199999</v>
      </c>
      <c r="D38" s="17">
        <v>2709915.22</v>
      </c>
    </row>
    <row r="39" spans="1:4" x14ac:dyDescent="0.2">
      <c r="A39" s="1" t="s">
        <v>13</v>
      </c>
      <c r="B39" t="s">
        <v>8</v>
      </c>
      <c r="C39" s="15">
        <v>11452895.939999901</v>
      </c>
      <c r="D39" s="17">
        <v>2677175.94</v>
      </c>
    </row>
    <row r="40" spans="1:4" x14ac:dyDescent="0.2">
      <c r="A40" s="1" t="s">
        <v>13</v>
      </c>
      <c r="B40" t="s">
        <v>9</v>
      </c>
      <c r="C40" s="15">
        <v>9791599.3799999896</v>
      </c>
      <c r="D40" s="17">
        <v>2039159.38</v>
      </c>
    </row>
    <row r="41" spans="1:4" x14ac:dyDescent="0.2">
      <c r="A41" s="1" t="s">
        <v>13</v>
      </c>
      <c r="B41" t="s">
        <v>10</v>
      </c>
      <c r="C41" s="15">
        <v>52504260.670000002</v>
      </c>
      <c r="D41" s="17">
        <v>11388173.169999899</v>
      </c>
    </row>
    <row r="42" spans="1:4" x14ac:dyDescent="0.2">
      <c r="A42" s="1" t="s">
        <v>13</v>
      </c>
      <c r="B42" t="s">
        <v>11</v>
      </c>
      <c r="C42" s="15">
        <v>8390746.1099999994</v>
      </c>
      <c r="D42" s="17">
        <v>1703451.1099999901</v>
      </c>
    </row>
    <row r="43" spans="1:4" x14ac:dyDescent="0.2">
      <c r="A43" s="1" t="s">
        <v>14</v>
      </c>
      <c r="B43" t="s">
        <v>6</v>
      </c>
      <c r="C43" s="15">
        <v>510213.97499999998</v>
      </c>
      <c r="D43" s="17">
        <v>132488.97499999899</v>
      </c>
    </row>
    <row r="44" spans="1:4" x14ac:dyDescent="0.2">
      <c r="A44" s="1" t="s">
        <v>14</v>
      </c>
      <c r="B44" t="s">
        <v>7</v>
      </c>
      <c r="C44" s="15">
        <v>593802.07499999995</v>
      </c>
      <c r="D44" s="17">
        <v>164542.07499999899</v>
      </c>
    </row>
    <row r="45" spans="1:4" x14ac:dyDescent="0.2">
      <c r="A45" s="1" t="s">
        <v>14</v>
      </c>
      <c r="B45" t="s">
        <v>8</v>
      </c>
      <c r="C45" s="15">
        <v>301344.75</v>
      </c>
      <c r="D45" s="17">
        <v>85354.75</v>
      </c>
    </row>
    <row r="46" spans="1:4" x14ac:dyDescent="0.2">
      <c r="A46" s="1" t="s">
        <v>14</v>
      </c>
      <c r="B46" t="s">
        <v>9</v>
      </c>
      <c r="C46" s="15">
        <v>511136.4</v>
      </c>
      <c r="D46" s="17">
        <v>150546.4</v>
      </c>
    </row>
    <row r="47" spans="1:4" x14ac:dyDescent="0.2">
      <c r="A47" s="1" t="s">
        <v>14</v>
      </c>
      <c r="B47" t="s">
        <v>10</v>
      </c>
      <c r="C47" s="15">
        <v>2381883.0750000002</v>
      </c>
      <c r="D47" s="17">
        <v>660103.07499999902</v>
      </c>
    </row>
    <row r="48" spans="1:4" x14ac:dyDescent="0.2">
      <c r="A48" s="1" t="s">
        <v>14</v>
      </c>
      <c r="B48" t="s">
        <v>11</v>
      </c>
      <c r="C48" s="15">
        <v>465385.87499999901</v>
      </c>
      <c r="D48" s="17">
        <v>127170.875</v>
      </c>
    </row>
    <row r="49" spans="1:4" x14ac:dyDescent="0.2">
      <c r="A49" s="1" t="s">
        <v>15</v>
      </c>
      <c r="B49" t="s">
        <v>6</v>
      </c>
      <c r="C49" s="15">
        <v>9177549</v>
      </c>
      <c r="D49" s="17">
        <v>900799</v>
      </c>
    </row>
    <row r="50" spans="1:4" x14ac:dyDescent="0.2">
      <c r="A50" s="1" t="s">
        <v>15</v>
      </c>
      <c r="B50" t="s">
        <v>7</v>
      </c>
      <c r="C50" s="15">
        <v>7369606.5</v>
      </c>
      <c r="D50" s="17">
        <v>730731.5</v>
      </c>
    </row>
    <row r="51" spans="1:4" x14ac:dyDescent="0.2">
      <c r="A51" s="1" t="s">
        <v>15</v>
      </c>
      <c r="B51" t="s">
        <v>8</v>
      </c>
      <c r="C51" s="15">
        <v>7327848</v>
      </c>
      <c r="D51" s="17">
        <v>771973</v>
      </c>
    </row>
    <row r="52" spans="1:4" x14ac:dyDescent="0.2">
      <c r="A52" s="1" t="s">
        <v>15</v>
      </c>
      <c r="B52" t="s">
        <v>9</v>
      </c>
      <c r="C52" s="15">
        <v>7096356</v>
      </c>
      <c r="D52" s="17">
        <v>667606</v>
      </c>
    </row>
    <row r="53" spans="1:4" x14ac:dyDescent="0.2">
      <c r="A53" s="1" t="s">
        <v>15</v>
      </c>
      <c r="B53" t="s">
        <v>10</v>
      </c>
      <c r="C53" s="15">
        <v>42427918.5</v>
      </c>
      <c r="D53" s="17">
        <v>4143168.5</v>
      </c>
    </row>
    <row r="54" spans="1:4" x14ac:dyDescent="0.2">
      <c r="A54" s="1" t="s">
        <v>15</v>
      </c>
      <c r="B54" t="s">
        <v>11</v>
      </c>
      <c r="C54" s="15">
        <v>11456559</v>
      </c>
      <c r="D54" s="17">
        <v>1072059</v>
      </c>
    </row>
    <row r="55" spans="1:4" x14ac:dyDescent="0.2">
      <c r="A55" s="22" t="s">
        <v>40</v>
      </c>
      <c r="B55" s="23"/>
      <c r="C55" s="24">
        <v>118726350.25999901</v>
      </c>
      <c r="D55" s="25">
        <v>16893702.260000002</v>
      </c>
    </row>
    <row r="57" spans="1:4" ht="19" x14ac:dyDescent="0.25">
      <c r="A57" s="40" t="s">
        <v>49</v>
      </c>
      <c r="B57" s="40"/>
      <c r="C57" s="40"/>
      <c r="D57" s="40"/>
    </row>
    <row r="59" spans="1:4" x14ac:dyDescent="0.2">
      <c r="A59" s="29" t="s">
        <v>50</v>
      </c>
      <c r="B59" s="30" t="s">
        <v>51</v>
      </c>
      <c r="C59" s="30" t="s">
        <v>44</v>
      </c>
      <c r="D59" s="31" t="s">
        <v>52</v>
      </c>
    </row>
    <row r="60" spans="1:4" x14ac:dyDescent="0.2">
      <c r="A60" s="1" t="s">
        <v>17</v>
      </c>
      <c r="B60">
        <v>492</v>
      </c>
      <c r="C60" s="15">
        <v>108426708.724999</v>
      </c>
      <c r="D60" s="17">
        <v>18.704817073170702</v>
      </c>
    </row>
    <row r="61" spans="1:4" x14ac:dyDescent="0.2">
      <c r="A61" s="1" t="s">
        <v>18</v>
      </c>
      <c r="B61">
        <v>53</v>
      </c>
      <c r="C61" s="15">
        <v>7943654</v>
      </c>
      <c r="D61" s="17">
        <v>20.698113207547099</v>
      </c>
    </row>
    <row r="62" spans="1:4" x14ac:dyDescent="0.2">
      <c r="A62" s="3" t="s">
        <v>19</v>
      </c>
      <c r="B62" s="4">
        <v>155</v>
      </c>
      <c r="C62" s="16">
        <v>2355987.5350000001</v>
      </c>
      <c r="D62" s="18">
        <v>4.9089677419354798</v>
      </c>
    </row>
    <row r="63" spans="1:4" x14ac:dyDescent="0.2">
      <c r="A63" s="13"/>
      <c r="B63" s="13" t="s">
        <v>40</v>
      </c>
      <c r="C63" s="21">
        <f t="shared" ref="C63:D63" si="0">SUM(C60:C62)</f>
        <v>118726350.25999899</v>
      </c>
      <c r="D63" s="21">
        <f t="shared" si="0"/>
        <v>44.311898022653274</v>
      </c>
    </row>
    <row r="65" spans="1:9" ht="19" x14ac:dyDescent="0.25">
      <c r="A65" s="41" t="s">
        <v>46</v>
      </c>
      <c r="B65" s="40"/>
      <c r="C65" s="40"/>
      <c r="D65" s="40"/>
      <c r="E65" s="40"/>
      <c r="F65" s="32"/>
      <c r="G65" s="32"/>
      <c r="H65" s="32"/>
      <c r="I65" s="32"/>
    </row>
    <row r="67" spans="1:9" x14ac:dyDescent="0.2">
      <c r="A67" s="9" t="s">
        <v>39</v>
      </c>
      <c r="B67" s="10" t="s">
        <v>33</v>
      </c>
      <c r="C67" s="10" t="s">
        <v>47</v>
      </c>
      <c r="D67" s="10" t="s">
        <v>36</v>
      </c>
      <c r="E67" s="11" t="s">
        <v>48</v>
      </c>
    </row>
    <row r="68" spans="1:9" x14ac:dyDescent="0.2">
      <c r="A68" s="1" t="s">
        <v>2</v>
      </c>
      <c r="B68">
        <v>2013</v>
      </c>
      <c r="C68" s="15">
        <v>3519132.53</v>
      </c>
      <c r="D68" s="15">
        <v>781949.53</v>
      </c>
      <c r="E68" s="27">
        <v>0.22220000000000001</v>
      </c>
    </row>
    <row r="69" spans="1:9" x14ac:dyDescent="0.2">
      <c r="A69" s="1" t="s">
        <v>0</v>
      </c>
      <c r="B69">
        <v>2013</v>
      </c>
      <c r="C69" s="15">
        <v>5914747.0899999999</v>
      </c>
      <c r="D69" s="15">
        <v>1099853.0899999901</v>
      </c>
      <c r="E69" s="27">
        <v>0.186</v>
      </c>
    </row>
    <row r="70" spans="1:9" x14ac:dyDescent="0.2">
      <c r="A70" s="1" t="s">
        <v>1</v>
      </c>
      <c r="B70">
        <v>2013</v>
      </c>
      <c r="C70" s="15">
        <v>5401427.2300000004</v>
      </c>
      <c r="D70" s="15">
        <v>878185.23</v>
      </c>
      <c r="E70" s="27">
        <v>0.16259999999999999</v>
      </c>
    </row>
    <row r="71" spans="1:9" x14ac:dyDescent="0.2">
      <c r="A71" s="1" t="s">
        <v>4</v>
      </c>
      <c r="B71">
        <v>2013</v>
      </c>
      <c r="C71" s="15">
        <v>3975783.04</v>
      </c>
      <c r="D71" s="15">
        <v>457758.03999999899</v>
      </c>
      <c r="E71" s="27">
        <v>0.11509999999999999</v>
      </c>
    </row>
    <row r="72" spans="1:9" x14ac:dyDescent="0.2">
      <c r="A72" s="1" t="s">
        <v>3</v>
      </c>
      <c r="B72">
        <v>2013</v>
      </c>
      <c r="C72" s="15">
        <v>6197299.7599999998</v>
      </c>
      <c r="D72" s="15">
        <v>621949.76</v>
      </c>
      <c r="E72" s="27">
        <v>0.1004</v>
      </c>
    </row>
    <row r="73" spans="1:9" x14ac:dyDescent="0.2">
      <c r="A73" s="1" t="s">
        <v>16</v>
      </c>
      <c r="B73">
        <v>2013</v>
      </c>
      <c r="C73" s="15">
        <v>1406865.86</v>
      </c>
      <c r="D73" s="15">
        <v>38768.86</v>
      </c>
      <c r="E73" s="27">
        <v>2.76E-2</v>
      </c>
    </row>
    <row r="74" spans="1:9" x14ac:dyDescent="0.2">
      <c r="A74" s="1" t="s">
        <v>4</v>
      </c>
      <c r="B74">
        <v>2014</v>
      </c>
      <c r="C74" s="15">
        <v>11415018.839999899</v>
      </c>
      <c r="D74" s="15">
        <v>1656996.84</v>
      </c>
      <c r="E74" s="27">
        <v>0.1452</v>
      </c>
    </row>
    <row r="75" spans="1:9" x14ac:dyDescent="0.2">
      <c r="A75" s="1" t="s">
        <v>16</v>
      </c>
      <c r="B75">
        <v>2014</v>
      </c>
      <c r="C75" s="15">
        <v>12408442.025</v>
      </c>
      <c r="D75" s="15">
        <v>1788036.0249999999</v>
      </c>
      <c r="E75" s="27">
        <v>0.14410000000000001</v>
      </c>
    </row>
    <row r="76" spans="1:9" x14ac:dyDescent="0.2">
      <c r="A76" s="1" t="s">
        <v>2</v>
      </c>
      <c r="B76">
        <v>2014</v>
      </c>
      <c r="C76" s="15">
        <v>14227983.529999901</v>
      </c>
      <c r="D76" s="15">
        <v>2032154.52999999</v>
      </c>
      <c r="E76" s="27">
        <v>0.14280000000000001</v>
      </c>
    </row>
    <row r="77" spans="1:9" x14ac:dyDescent="0.2">
      <c r="A77" s="1" t="s">
        <v>1</v>
      </c>
      <c r="B77">
        <v>2014</v>
      </c>
      <c r="C77" s="15">
        <v>15110493.7899999</v>
      </c>
      <c r="D77" s="15">
        <v>2156422.79</v>
      </c>
      <c r="E77" s="27">
        <v>0.14269999999999999</v>
      </c>
    </row>
    <row r="78" spans="1:9" x14ac:dyDescent="0.2">
      <c r="A78" s="1" t="s">
        <v>3</v>
      </c>
      <c r="B78">
        <v>2014</v>
      </c>
      <c r="C78" s="15">
        <v>12052759.705</v>
      </c>
      <c r="D78" s="15">
        <v>1684042.7049999901</v>
      </c>
      <c r="E78" s="27">
        <v>0.13969999999999999</v>
      </c>
    </row>
    <row r="79" spans="1:9" x14ac:dyDescent="0.2">
      <c r="A79" s="3" t="s">
        <v>0</v>
      </c>
      <c r="B79" s="4">
        <v>2014</v>
      </c>
      <c r="C79" s="16">
        <v>27096396.859999999</v>
      </c>
      <c r="D79" s="16">
        <v>3697584.86</v>
      </c>
      <c r="E79" s="28">
        <v>0.13650000000000001</v>
      </c>
    </row>
    <row r="80" spans="1:9" x14ac:dyDescent="0.2">
      <c r="A80" s="10" t="s">
        <v>40</v>
      </c>
      <c r="B80" s="10"/>
      <c r="C80" s="20">
        <f t="shared" ref="C80:D80" si="1">SUM(C68:C79)</f>
        <v>118726350.25999969</v>
      </c>
      <c r="D80" s="20">
        <f t="shared" si="1"/>
        <v>16893702.259999968</v>
      </c>
      <c r="E80" s="10"/>
    </row>
    <row r="82" spans="1:3" ht="19" x14ac:dyDescent="0.25">
      <c r="A82" s="33" t="s">
        <v>38</v>
      </c>
      <c r="B82" s="34"/>
      <c r="C82" s="35"/>
    </row>
    <row r="84" spans="1:3" x14ac:dyDescent="0.2">
      <c r="A84" s="12" t="s">
        <v>39</v>
      </c>
      <c r="B84" s="13" t="s">
        <v>36</v>
      </c>
      <c r="C84" s="14" t="s">
        <v>35</v>
      </c>
    </row>
    <row r="85" spans="1:3" x14ac:dyDescent="0.2">
      <c r="A85" s="1" t="s">
        <v>0</v>
      </c>
      <c r="B85" s="15">
        <v>4797437.9499999899</v>
      </c>
      <c r="C85" s="2">
        <v>338239.5</v>
      </c>
    </row>
    <row r="86" spans="1:3" x14ac:dyDescent="0.2">
      <c r="A86" s="1" t="s">
        <v>1</v>
      </c>
      <c r="B86" s="15">
        <v>3034608.02</v>
      </c>
      <c r="C86" s="2">
        <v>168783</v>
      </c>
    </row>
    <row r="87" spans="1:3" x14ac:dyDescent="0.2">
      <c r="A87" s="1" t="s">
        <v>2</v>
      </c>
      <c r="B87" s="15">
        <v>2814104.06</v>
      </c>
      <c r="C87" s="2">
        <v>155315</v>
      </c>
    </row>
    <row r="88" spans="1:3" x14ac:dyDescent="0.2">
      <c r="A88" s="1" t="s">
        <v>3</v>
      </c>
      <c r="B88" s="15">
        <v>2305992.4649999999</v>
      </c>
      <c r="C88" s="2">
        <v>162424.5</v>
      </c>
    </row>
    <row r="89" spans="1:3" x14ac:dyDescent="0.2">
      <c r="A89" s="3" t="s">
        <v>4</v>
      </c>
      <c r="B89" s="16">
        <v>2114754.88</v>
      </c>
      <c r="C89" s="5">
        <v>154198</v>
      </c>
    </row>
    <row r="90" spans="1:3" x14ac:dyDescent="0.2">
      <c r="A90" s="12" t="s">
        <v>40</v>
      </c>
      <c r="B90" s="21">
        <f t="shared" ref="B90:C90" si="2">SUM(B85:B89)</f>
        <v>15066897.374999989</v>
      </c>
      <c r="C90" s="13">
        <f t="shared" si="2"/>
        <v>978960</v>
      </c>
    </row>
  </sheetData>
  <mergeCells count="6">
    <mergeCell ref="A82:C82"/>
    <mergeCell ref="A1:E1"/>
    <mergeCell ref="A20:B20"/>
    <mergeCell ref="A22:D22"/>
    <mergeCell ref="A57:D57"/>
    <mergeCell ref="A65:E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Reportes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Crespin</dc:creator>
  <cp:lastModifiedBy>Josue Crespin</cp:lastModifiedBy>
  <dcterms:created xsi:type="dcterms:W3CDTF">2026-05-28T04:19:10Z</dcterms:created>
  <dcterms:modified xsi:type="dcterms:W3CDTF">2026-05-28T05:14:57Z</dcterms:modified>
</cp:coreProperties>
</file>